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MD&amp;A" sheetId="2" state="visible" r:id="rId4"/>
    <sheet name="Stmt Net Position" sheetId="3" state="visible" r:id="rId5"/>
    <sheet name="Stmt Rev Exp &amp; Net Position" sheetId="4" state="visible" r:id="rId6"/>
    <sheet name="Stmt Cash Flows" sheetId="5" state="visible" r:id="rId7"/>
    <sheet name="Reconciliation &amp; Bridge" sheetId="6" state="visible" r:id="rId8"/>
    <sheet name="Notes" sheetId="7" state="visible" r:id="rId9"/>
    <sheet name="GASB vs GAAP Crosswalk" sheetId="8" state="visible" r:id="rId10"/>
    <sheet name="Source (from v13)"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<sst xmlns="http://schemas.openxmlformats.org/spreadsheetml/2006/main" count="288" uniqueCount="218">
  <si>
    <t xml:space="preserve">FutureWorld Robotics — GASB Financial Model, Version 2</t>
  </si>
  <si>
    <t xml:space="preserve">Illustrative GASB enterprise-fund recast of Financial Model v13 · prepared by Sorphoan (Jack) Ear · June 2026</t>
  </si>
  <si>
    <t xml:space="preserve">What changed in Version 2</t>
  </si>
  <si>
    <t xml:space="preserve">1. Added Management’s Discussion &amp; Analysis (MD&amp;A) as required supplementary information, with a condensed-financials table linked to the statements.</t>
  </si>
  <si>
    <t xml:space="preserve">2. Split the direct-method operating cash flow into separate "cash paid to suppliers" and "cash paid to employees" lines, per GASB presentation.</t>
  </si>
  <si>
    <t xml:space="preserve">Purpose</t>
  </si>
  <si>
    <t xml:space="preserve">This workbook recasts the FutureWorld Robotics five-year projection (Financial Model v13) into governmental (GASB) enterprise-fund form. v13 is unchanged and remains the for-profit business model; this GASB version is a separate file for a public-entity (government or public-university affiliated) reporting scenario.</t>
  </si>
  <si>
    <t xml:space="preserve">How it is built</t>
  </si>
  <si>
    <t xml:space="preserve">The "Source (from v13)" tab holds the line items carried from v13 (blue = inputs). Every statement is formula-driven from it (green = cross-sheet links, black = calculations), so the statements tie out and update if the source changes.</t>
  </si>
  <si>
    <t xml:space="preserve">Key GASB recast points</t>
  </si>
  <si>
    <t xml:space="preserve">Income tax removed (governmental tax-exempt); equity recast as capital contributions; net position in three components; operating vs nonoperating split with depreciation as an operating expense; direct-method four-category cash flow with reconciliation; deferred outflows/inflows, pension/OPEB, GASB 87/96 and unearned revenue shown as captioned placeholders pending real inputs.</t>
  </si>
  <si>
    <t xml:space="preserve">Tabs</t>
  </si>
  <si>
    <t xml:space="preserve">README · MD&amp;A · Stmt Net Position · Stmt Rev Exp &amp; Net Position · Stmt Cash Flows · Reconciliation &amp; Bridge · Notes · GASB vs GAAP Crosswalk · Source (from v13)</t>
  </si>
  <si>
    <t xml:space="preserve">Caveat</t>
  </si>
  <si>
    <t xml:space="preserve">Illustrative planning model, not audited financial statements and not a forecast. Confirm treatment with a CPA before reliance.</t>
  </si>
  <si>
    <t xml:space="preserve">MANAGEMENT'S DISCUSSION AND ANALYSIS (UNAUDITED)</t>
  </si>
  <si>
    <t xml:space="preserve">Required supplementary information · illustrative · $ unless noted</t>
  </si>
  <si>
    <t xml:space="preserve">Overview of the financial statements</t>
  </si>
  <si>
    <t xml:space="preserve">This discussion introduces FutureWorld Robotics’ basic financial statements, presented as an enterprise fund using the economic resources measurement focus and the accrual basis of accounting. The basic statements are the Statement of Net Position, the Statement of Revenues, Expenses, and Changes in Net Position, and the Statement of Cash Flows, accompanied by notes.</t>
  </si>
  <si>
    <t xml:space="preserve">Condensed financial information</t>
  </si>
  <si>
    <t xml:space="preserve">$</t>
  </si>
  <si>
    <t xml:space="preserve">2027</t>
  </si>
  <si>
    <t xml:space="preserve">2028</t>
  </si>
  <si>
    <t xml:space="preserve">2029</t>
  </si>
  <si>
    <t xml:space="preserve">2030</t>
  </si>
  <si>
    <t xml:space="preserve">2031</t>
  </si>
  <si>
    <t xml:space="preserve">Total operating revenues</t>
  </si>
  <si>
    <t xml:space="preserve">Operating income (loss)</t>
  </si>
  <si>
    <t xml:space="preserve">Change in net position</t>
  </si>
  <si>
    <t xml:space="preserve">Total assets</t>
  </si>
  <si>
    <t xml:space="preserve">Long-term debt</t>
  </si>
  <si>
    <t xml:space="preserve">Total net position (end of year)</t>
  </si>
  <si>
    <t xml:space="preserve">Financial position and results of operations</t>
  </si>
  <si>
    <t xml:space="preserve">Total net position grows each year of the projection, from $26.8M at the end of 2027 to $95.0M by 2031, reflecting positive changes in net position in every year. Year 2027 includes a $16.0M capital contribution that establishes the fund. Operating revenues rise from $35.5M (2027) to $50.8M (2031) as attendance ramps and the membership and business lines mature, while operating income remains strongly positive throughout. Because a governmental enterprise fund is tax-exempt, results are reported without income tax.</t>
  </si>
  <si>
    <t xml:space="preserve">Capital asset and debt administration</t>
  </si>
  <si>
    <t xml:space="preserve">Capital assets, net of accumulated depreciation, are $15.5M at the end of 2027 and $11.4M by 2031, reflecting initial build-out and fleet investment of $18.6M in 2027 followed by annual refresh capital spending net of depreciation. Long-term debt is a $6.0M placeholder facility carried throughout the projection; in a governmental structure this would typically be issued as tax-exempt revenue bonds, with interest reported within capital and related financing activities. Net investment in capital assets (capital assets net of related debt) declines from $9.5M to $5.4M as assets depreciate.</t>
  </si>
  <si>
    <t xml:space="preserve">Economic factors and outlook</t>
  </si>
  <si>
    <t xml:space="preserve">The projection assumes a five-year price-skim curve and an attendance ramp from 165,000 to 270,000 annual visits. Attendance and willingness-to-pay are the most sensitive inputs; the model’s scenario set (in v13) tests downside cases that remain cash-positive. Figures are illustrative and should be validated against local market data.</t>
  </si>
  <si>
    <t xml:space="preserve">STATEMENT OF NET POSITION</t>
  </si>
  <si>
    <t xml:space="preserve">At year-end · classified · illustrative</t>
  </si>
  <si>
    <t xml:space="preserve">$ unless noted</t>
  </si>
  <si>
    <t xml:space="preserve">ASSETS</t>
  </si>
  <si>
    <t xml:space="preserve">Current assets:</t>
  </si>
  <si>
    <t xml:space="preserve">   Cash &amp; cash equivalents</t>
  </si>
  <si>
    <t xml:space="preserve">Noncurrent assets:</t>
  </si>
  <si>
    <t xml:space="preserve">   Capital assets, net of depreciation</t>
  </si>
  <si>
    <t xml:space="preserve">DEFERRED OUTFLOWS OF RESOURCES</t>
  </si>
  <si>
    <t xml:space="preserve">   Deferred outflows (pensions, OPEB, leases)</t>
  </si>
  <si>
    <t xml:space="preserve">Total deferred outflows of resources</t>
  </si>
  <si>
    <t xml:space="preserve">LIABILITIES</t>
  </si>
  <si>
    <t xml:space="preserve">Current liabilities:</t>
  </si>
  <si>
    <t xml:space="preserve">   Unearned revenue (memberships/deposits)</t>
  </si>
  <si>
    <t xml:space="preserve">   Current portion of long-term debt</t>
  </si>
  <si>
    <t xml:space="preserve">Noncurrent liabilities:</t>
  </si>
  <si>
    <t xml:space="preserve">   Long-term debt (revenue bonds)</t>
  </si>
  <si>
    <t xml:space="preserve">   Net pension / OPEB liability</t>
  </si>
  <si>
    <t xml:space="preserve">Total liabilities</t>
  </si>
  <si>
    <t xml:space="preserve">DEFERRED INFLOWS OF RESOURCES</t>
  </si>
  <si>
    <t xml:space="preserve">   Deferred inflows (pensions, leases)</t>
  </si>
  <si>
    <t xml:space="preserve">Total deferred inflows of resources</t>
  </si>
  <si>
    <t xml:space="preserve">NET POSITION</t>
  </si>
  <si>
    <t xml:space="preserve">   Net investment in capital assets</t>
  </si>
  <si>
    <t xml:space="preserve">   Restricted</t>
  </si>
  <si>
    <t xml:space="preserve">   Unrestricted</t>
  </si>
  <si>
    <t xml:space="preserve">Total net position</t>
  </si>
  <si>
    <t xml:space="preserve">Check: Assets+DefOut − (Liab+DefIn+NetPos)</t>
  </si>
  <si>
    <t xml:space="preserve">STATEMENT OF REVENUES, EXPENSES, AND CHANGES IN NET POSITION</t>
  </si>
  <si>
    <t xml:space="preserve">FutureWorld Robotics enterprise fund · GASB recast of v13 · five-year projection · illustrative</t>
  </si>
  <si>
    <t xml:space="preserve">OPERATING REVENUES</t>
  </si>
  <si>
    <t xml:space="preserve">Admission (net of comp/discount)</t>
  </si>
  <si>
    <t xml:space="preserve">Photo experiences</t>
  </si>
  <si>
    <t xml:space="preserve">Retail / merchandise</t>
  </si>
  <si>
    <t xml:space="preserve">Robotic coffee shop</t>
  </si>
  <si>
    <t xml:space="preserve">Robotic restaurant</t>
  </si>
  <si>
    <t xml:space="preserve">Robot vending</t>
  </si>
  <si>
    <t xml:space="preserve">Memberships</t>
  </si>
  <si>
    <t xml:space="preserve">Exhibitor / showcase booths</t>
  </si>
  <si>
    <t xml:space="preserve">Sponsorship &amp; naming rights</t>
  </si>
  <si>
    <t xml:space="preserve">Corporate events &amp; private hire</t>
  </si>
  <si>
    <t xml:space="preserve">Conference &amp; event hosting</t>
  </si>
  <si>
    <t xml:space="preserve">Education — courses &amp; field trips</t>
  </si>
  <si>
    <t xml:space="preserve">Summer &amp; holiday camps</t>
  </si>
  <si>
    <t xml:space="preserve">Birthday parties</t>
  </si>
  <si>
    <t xml:space="preserve">Robot-for-hire / mobile shows</t>
  </si>
  <si>
    <t xml:space="preserve">Traveling-exhibit licensing</t>
  </si>
  <si>
    <t xml:space="preserve">OPERATING EXPENSES</t>
  </si>
  <si>
    <t xml:space="preserve">Payroll &amp; staff</t>
  </si>
  <si>
    <t xml:space="preserve">Rent / lease</t>
  </si>
  <si>
    <t xml:space="preserve">Utilities</t>
  </si>
  <si>
    <t xml:space="preserve">Marketing</t>
  </si>
  <si>
    <t xml:space="preserve">Show production &amp; new content</t>
  </si>
  <si>
    <t xml:space="preserve">Insurance</t>
  </si>
  <si>
    <t xml:space="preserve">Facility &amp; AV maintenance</t>
  </si>
  <si>
    <t xml:space="preserve">G&amp;A / other</t>
  </si>
  <si>
    <t xml:space="preserve">Outsourced services</t>
  </si>
  <si>
    <t xml:space="preserve">Robot maintenance</t>
  </si>
  <si>
    <t xml:space="preserve">Retail COGS</t>
  </si>
  <si>
    <t xml:space="preserve">F&amp;B COGS</t>
  </si>
  <si>
    <t xml:space="preserve">Photo COGS</t>
  </si>
  <si>
    <t xml:space="preserve">Ticketing &amp; card fees</t>
  </si>
  <si>
    <t xml:space="preserve">Licensing &amp; IP (placeholder)</t>
  </si>
  <si>
    <t xml:space="preserve">Depreciation &amp; amortization</t>
  </si>
  <si>
    <t xml:space="preserve">Total operating expenses</t>
  </si>
  <si>
    <t xml:space="preserve">NONOPERATING REVENUES (EXPENSES)</t>
  </si>
  <si>
    <t xml:space="preserve">Grants (nonexchange)</t>
  </si>
  <si>
    <t xml:space="preserve">Investment income</t>
  </si>
  <si>
    <t xml:space="preserve">Interest expense</t>
  </si>
  <si>
    <t xml:space="preserve">Net nonoperating revenues (expenses)</t>
  </si>
  <si>
    <t xml:space="preserve">Income before capital contributions</t>
  </si>
  <si>
    <t xml:space="preserve">Capital contributions</t>
  </si>
  <si>
    <t xml:space="preserve">Net position — beginning of year</t>
  </si>
  <si>
    <t xml:space="preserve">Net position — end of year</t>
  </si>
  <si>
    <t xml:space="preserve">STATEMENT OF CASH FLOWS</t>
  </si>
  <si>
    <t xml:space="preserve">Direct method · four GASB categories · illustrative</t>
  </si>
  <si>
    <t xml:space="preserve">CASH FLOWS FROM OPERATING ACTIVITIES</t>
  </si>
  <si>
    <t xml:space="preserve">Cash received from customers</t>
  </si>
  <si>
    <t xml:space="preserve">Cash paid to suppliers</t>
  </si>
  <si>
    <t xml:space="preserve">Cash paid to employees</t>
  </si>
  <si>
    <t xml:space="preserve">Net cash provided by operating activities</t>
  </si>
  <si>
    <t xml:space="preserve">CASH FLOWS FROM NONCAPITAL FINANCING ACTIVITIES</t>
  </si>
  <si>
    <t xml:space="preserve">Grants received</t>
  </si>
  <si>
    <t xml:space="preserve">Net cash from noncapital financing activities</t>
  </si>
  <si>
    <t xml:space="preserve">CASH FLOWS FROM CAPITAL &amp; RELATED FINANCING ACTIVITIES</t>
  </si>
  <si>
    <t xml:space="preserve">Proceeds from capital debt</t>
  </si>
  <si>
    <t xml:space="preserve">Acquisition of capital assets</t>
  </si>
  <si>
    <t xml:space="preserve">Interest paid on capital debt</t>
  </si>
  <si>
    <t xml:space="preserve">Net cash from capital &amp; related financing</t>
  </si>
  <si>
    <t xml:space="preserve">CASH FLOWS FROM INVESTING ACTIVITIES</t>
  </si>
  <si>
    <t xml:space="preserve">Investment income received</t>
  </si>
  <si>
    <t xml:space="preserve">Net cash from investing activities</t>
  </si>
  <si>
    <t xml:space="preserve">Net change in cash</t>
  </si>
  <si>
    <t xml:space="preserve">Cash — beginning of year</t>
  </si>
  <si>
    <t xml:space="preserve">Cash — end of year</t>
  </si>
  <si>
    <t xml:space="preserve">RECONCILIATIONS</t>
  </si>
  <si>
    <t xml:space="preserve">GASB operating cash reconciliation + GAAP(v13) → GASB bridge</t>
  </si>
  <si>
    <t xml:space="preserve">A. Reconciliation of operating income to net cash from operating activities</t>
  </si>
  <si>
    <t xml:space="preserve">Adjustment: depreciation &amp; amortization</t>
  </si>
  <si>
    <t xml:space="preserve">Adjustment: change in working capital</t>
  </si>
  <si>
    <t xml:space="preserve">Check vs. cash flow statement</t>
  </si>
  <si>
    <t xml:space="preserve">B. Bridge: v13 GAAP net income to GASB change in net position</t>
  </si>
  <si>
    <t xml:space="preserve">v13 net income (after tax, for-profit)</t>
  </si>
  <si>
    <t xml:space="preserve">Add: income tax removed (govt is tax-exempt)</t>
  </si>
  <si>
    <t xml:space="preserve">Subtotal: income before capital contributions</t>
  </si>
  <si>
    <t xml:space="preserve">Add: capital contributions (ex-equity financing)</t>
  </si>
  <si>
    <t xml:space="preserve">Change in net position (GASB)</t>
  </si>
  <si>
    <t xml:space="preserve">Check vs. SRECNP change in net position</t>
  </si>
  <si>
    <t xml:space="preserve">Notes to the Financial Statements (selected)</t>
  </si>
  <si>
    <t xml:space="preserve">Illustrative · abbreviated for a work sample</t>
  </si>
  <si>
    <t xml:space="preserve">Note 1 — Reporting entity &amp; basis of accounting</t>
  </si>
  <si>
    <t xml:space="preserve">FutureWorld Robotics is presented as an enterprise fund / business-type activity. The financial statements are prepared on the economic resources measurement focus and the accrual basis of accounting, in conformity with U.S. GAAP as prescribed by the Governmental Accounting Standards Board (GASB).</t>
  </si>
  <si>
    <t xml:space="preserve">Note 2 — Operating vs. nonoperating</t>
  </si>
  <si>
    <t xml:space="preserve">Operating revenues result from exchange transactions (admissions, on-site spend, memberships, education, booths, events). Operating expenses include the cost of providing services and depreciation. Grants (nonexchange), investment income, interest expense, and capital contributions are reported as nonoperating or below the operating line.</t>
  </si>
  <si>
    <t xml:space="preserve">Note 3 — Capital assets</t>
  </si>
  <si>
    <t xml:space="preserve">Capital assets (robots, build-out, AV/IT) are recorded at cost and depreciated straight-line over estimated useful lives: robots 4 years, build-out 15 years, AV/IT 5 years. See the v13 CapEx &amp; Depreciation schedule for the per-vintage roll-forward carried into this model.</t>
  </si>
  <si>
    <t xml:space="preserve">Note 4 — Long-term debt</t>
  </si>
  <si>
    <t xml:space="preserve">Long-term debt is a $6.0M placeholder facility (interest-only at 8% in v13). In a governmental structure this would typically be refinanced as lower-rate tax-exempt revenue bonds; interest is reported within capital &amp; related financing activities.</t>
  </si>
  <si>
    <t xml:space="preserve">Note 5 — Net position</t>
  </si>
  <si>
    <t xml:space="preserve">Net position is displayed in three components: net investment in capital assets (capital assets net of related debt), restricted, and unrestricted.</t>
  </si>
  <si>
    <t xml:space="preserve">Note 6 — Items pending (GASB 68/75/87/96)</t>
  </si>
  <si>
    <t xml:space="preserve">Net pension and OPEB liabilities (GASB 68/75), lease right-to-use assets and liabilities (GASB 87), and subscription-based IT arrangements (GASB 96), with related deferred outflows/inflows of resources, are presented as captioned placeholders pending actuarial and contract inputs.</t>
  </si>
  <si>
    <t xml:space="preserve">GASB vs GAAP — CROSSWALK</t>
  </si>
  <si>
    <t xml:space="preserve">How the same entity differs under FASB GAAP (v13) and GASB (this model)</t>
  </si>
  <si>
    <t xml:space="preserve">Topic</t>
  </si>
  <si>
    <t xml:space="preserve">FASB GAAP (v13 business model)</t>
  </si>
  <si>
    <t xml:space="preserve">GASB (this model)</t>
  </si>
  <si>
    <t xml:space="preserve">Applies to</t>
  </si>
  <si>
    <t xml:space="preserve">Private for-profits &amp; nonprofits</t>
  </si>
  <si>
    <t xml:space="preserve">State/local govts, public universities — e.g., UC Riverside</t>
  </si>
  <si>
    <t xml:space="preserve">Equity section</t>
  </si>
  <si>
    <t xml:space="preserve">Paid-in capital + retained earnings</t>
  </si>
  <si>
    <t xml:space="preserve">Net position: net investment in capital assets, restricted, unrestricted</t>
  </si>
  <si>
    <t xml:space="preserve">Deferred outflows/inflows</t>
  </si>
  <si>
    <t xml:space="preserve">Concept does not exist</t>
  </si>
  <si>
    <t xml:space="preserve">Distinct 5th &amp; 6th statement elements</t>
  </si>
  <si>
    <t xml:space="preserve">Income statement</t>
  </si>
  <si>
    <t xml:space="preserve">Revenue → EBITDA → EBIT → net income</t>
  </si>
  <si>
    <t xml:space="preserve">Operating income → income before capital contributions → change in net position</t>
  </si>
  <si>
    <t xml:space="preserve">Income tax</t>
  </si>
  <si>
    <t xml:space="preserve">25% corporate tax modeled</t>
  </si>
  <si>
    <t xml:space="preserve">Tax-exempt — no income tax</t>
  </si>
  <si>
    <t xml:space="preserve">Capital from owners</t>
  </si>
  <si>
    <t xml:space="preserve">Equity raise ($16M, investors ~1/3)</t>
  </si>
  <si>
    <t xml:space="preserve">Capital contributions to the fund</t>
  </si>
  <si>
    <t xml:space="preserve">Operating vs nonoperating</t>
  </si>
  <si>
    <t xml:space="preserve">Not required</t>
  </si>
  <si>
    <t xml:space="preserve">Required; grants, investment income, interest = nonoperating</t>
  </si>
  <si>
    <t xml:space="preserve">Within pre-tax operating result</t>
  </si>
  <si>
    <t xml:space="preserve">Nonoperating / capital &amp; related financing</t>
  </si>
  <si>
    <t xml:space="preserve">Cash flow</t>
  </si>
  <si>
    <t xml:space="preserve">Indirect, 3 categories</t>
  </si>
  <si>
    <t xml:space="preserve">Direct, 4 categories + reconciliation</t>
  </si>
  <si>
    <t xml:space="preserve">Leases</t>
  </si>
  <si>
    <t xml:space="preserve">ASC 842 (finance vs operating)</t>
  </si>
  <si>
    <t xml:space="preserve">GASB 87 single model (placeholder)</t>
  </si>
  <si>
    <t xml:space="preserve">Pensions/OPEB</t>
  </si>
  <si>
    <t xml:space="preserve">ASC 715</t>
  </si>
  <si>
    <t xml:space="preserve">GASB 68/75 net liability on face (placeholder)</t>
  </si>
  <si>
    <t xml:space="preserve">Software subscriptions</t>
  </si>
  <si>
    <t xml:space="preserve">ASC 350-40</t>
  </si>
  <si>
    <t xml:space="preserve">GASB 96 SBITAs (placeholder)</t>
  </si>
  <si>
    <t xml:space="preserve">MD&amp;A</t>
  </si>
  <si>
    <t xml:space="preserve">Required supplementary information (included)</t>
  </si>
  <si>
    <t xml:space="preserve">FUTUREWORLD ROBOTICS — SOURCE DATA (from Financial Model v13)</t>
  </si>
  <si>
    <t xml:space="preserve">Blue = hardcoded inputs carried from v13. Source: FutureWorld_Robotics_Financial_Model_v13.xlsx</t>
  </si>
  <si>
    <t xml:space="preserve">OPERATING REVENUES — exchange (GASB)</t>
  </si>
  <si>
    <t xml:space="preserve">NONEXCHANGE / NONOPERATING</t>
  </si>
  <si>
    <t xml:space="preserve">Grants (nonexchange, GASB 33)</t>
  </si>
  <si>
    <t xml:space="preserve">OPERATING EXPENSES (excl. depreciation)</t>
  </si>
  <si>
    <t xml:space="preserve">OTHER DRIVERS</t>
  </si>
  <si>
    <t xml:space="preserve">Interest expense (capital debt)</t>
  </si>
  <si>
    <t xml:space="preserve">Capital assets, net (NBV from v13)</t>
  </si>
  <si>
    <t xml:space="preserve">Capital asset acquisitions (depreciable capex)</t>
  </si>
  <si>
    <t xml:space="preserve">Long-term debt outstanding</t>
  </si>
  <si>
    <t xml:space="preserve">Capital debt drawn (proceeds)</t>
  </si>
  <si>
    <t xml:space="preserve">Capital contributions (initial, ex-equity)</t>
  </si>
  <si>
    <t xml:space="preserve">MEMO — v13 GAAP figures (for bridge)</t>
  </si>
  <si>
    <t xml:space="preserve">v13 income tax (removed under GASB)</t>
  </si>
  <si>
    <t xml:space="preserve">v13 net income (after tax)</t>
  </si>
</sst>
</file>

<file path=xl/styles.xml><?xml version="1.0" encoding="utf-8"?>
<styleSheet xmlns="http://schemas.openxmlformats.org/spreadsheetml/2006/main">
  <numFmts count="2">
    <numFmt numFmtId="164" formatCode="General"/>
    <numFmt numFmtId="165" formatCode="\$#,##0;&quot;($&quot;#,##0\);\-"/>
  </numFmts>
  <fonts count="16">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55555"/>
      <name val="Arial"/>
      <family val="0"/>
      <charset val="1"/>
    </font>
    <font>
      <b val="true"/>
      <sz val="11"/>
      <color rgb="FF1F3864"/>
      <name val="Arial"/>
      <family val="0"/>
      <charset val="1"/>
    </font>
    <font>
      <sz val="10"/>
      <name val="Arial"/>
      <family val="0"/>
      <charset val="1"/>
    </font>
    <font>
      <b val="true"/>
      <sz val="11"/>
      <color rgb="FFFFFFFF"/>
      <name val="Arial"/>
      <family val="0"/>
      <charset val="1"/>
    </font>
    <font>
      <sz val="10"/>
      <color rgb="FF008000"/>
      <name val="Arial"/>
      <family val="0"/>
      <charset val="1"/>
    </font>
    <font>
      <b val="true"/>
      <sz val="10"/>
      <name val="Arial"/>
      <family val="0"/>
      <charset val="1"/>
    </font>
    <font>
      <b val="true"/>
      <sz val="10"/>
      <color rgb="FF008000"/>
      <name val="Arial"/>
      <family val="0"/>
      <charset val="1"/>
    </font>
    <font>
      <b val="true"/>
      <sz val="13"/>
      <name val="Arial"/>
      <family val="0"/>
      <charset val="1"/>
    </font>
    <font>
      <b val="true"/>
      <sz val="10"/>
      <color rgb="FF1F3864"/>
      <name val="Arial"/>
      <family val="0"/>
      <charset val="1"/>
    </font>
    <font>
      <sz val="10"/>
      <color rgb="FF0000FF"/>
      <name val="Arial"/>
      <family val="0"/>
      <charset val="1"/>
    </font>
    <font>
      <sz val="10"/>
      <color rgb="FF000000"/>
      <name val="Arial"/>
      <family val="0"/>
      <charset val="1"/>
    </font>
  </fonts>
  <fills count="5">
    <fill>
      <patternFill patternType="none"/>
    </fill>
    <fill>
      <patternFill patternType="gray125"/>
    </fill>
    <fill>
      <patternFill patternType="solid">
        <fgColor rgb="FFD9E1F2"/>
        <bgColor rgb="FFF2F2F2"/>
      </patternFill>
    </fill>
    <fill>
      <patternFill patternType="solid">
        <fgColor rgb="FF1F3864"/>
        <bgColor rgb="FF333333"/>
      </patternFill>
    </fill>
    <fill>
      <patternFill patternType="solid">
        <fgColor rgb="FFF2F2F2"/>
        <bgColor rgb="FFFFFFFF"/>
      </patternFill>
    </fill>
  </fills>
  <borders count="3">
    <border diagonalUp="false" diagonalDown="false">
      <left/>
      <right/>
      <top/>
      <bottom/>
      <diagonal/>
    </border>
    <border diagonalUp="false" diagonalDown="false">
      <left/>
      <right/>
      <top style="thin"/>
      <bottom/>
      <diagonal/>
    </border>
    <border diagonalUp="false" diagonalDown="false">
      <left/>
      <right/>
      <top style="thin"/>
      <bottom style="double"/>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5" fontId="11" fillId="4"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10" fillId="4" borderId="1"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5" fontId="15" fillId="0" borderId="0" xfId="0" applyFont="true" applyBorder="fals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5" fontId="10" fillId="4" borderId="2" xfId="0" applyFont="true" applyBorder="true" applyAlignment="fals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112"/>
  </cols>
  <sheetData>
    <row r="2" customFormat="false" ht="17.35" hidden="false" customHeight="false" outlineLevel="0" collapsed="false">
      <c r="B2" s="1" t="s">
        <v>0</v>
      </c>
    </row>
    <row r="4" customFormat="false" ht="15" hidden="false" customHeight="false" outlineLevel="0" collapsed="false">
      <c r="B4" s="2" t="s">
        <v>1</v>
      </c>
    </row>
    <row r="5" customFormat="false" ht="15" hidden="false" customHeight="false" outlineLevel="0" collapsed="false">
      <c r="B5" s="3" t="s">
        <v>2</v>
      </c>
    </row>
    <row r="6" customFormat="false" ht="23.85" hidden="false" customHeight="false" outlineLevel="0" collapsed="false">
      <c r="B6" s="4" t="s">
        <v>3</v>
      </c>
    </row>
    <row r="7" customFormat="false" ht="23.85" hidden="false" customHeight="false" outlineLevel="0" collapsed="false">
      <c r="B7" s="4" t="s">
        <v>4</v>
      </c>
    </row>
    <row r="8" customFormat="false" ht="15" hidden="false" customHeight="false" outlineLevel="0" collapsed="false">
      <c r="B8" s="3" t="s">
        <v>5</v>
      </c>
    </row>
    <row r="9" customFormat="false" ht="35.05" hidden="false" customHeight="false" outlineLevel="0" collapsed="false">
      <c r="B9" s="4" t="s">
        <v>6</v>
      </c>
    </row>
    <row r="10" customFormat="false" ht="15" hidden="false" customHeight="false" outlineLevel="0" collapsed="false">
      <c r="B10" s="3" t="s">
        <v>7</v>
      </c>
    </row>
    <row r="11" customFormat="false" ht="23.85" hidden="false" customHeight="false" outlineLevel="0" collapsed="false">
      <c r="B11" s="4" t="s">
        <v>8</v>
      </c>
    </row>
    <row r="12" customFormat="false" ht="15" hidden="false" customHeight="false" outlineLevel="0" collapsed="false">
      <c r="B12" s="3" t="s">
        <v>9</v>
      </c>
    </row>
    <row r="13" customFormat="false" ht="35.05" hidden="false" customHeight="false" outlineLevel="0" collapsed="false">
      <c r="B13" s="4" t="s">
        <v>10</v>
      </c>
    </row>
    <row r="14" customFormat="false" ht="15" hidden="false" customHeight="false" outlineLevel="0" collapsed="false">
      <c r="B14" s="3" t="s">
        <v>11</v>
      </c>
    </row>
    <row r="15" customFormat="false" ht="23.85" hidden="false" customHeight="false" outlineLevel="0" collapsed="false">
      <c r="B15" s="4" t="s">
        <v>12</v>
      </c>
    </row>
    <row r="16" customFormat="false" ht="15" hidden="false" customHeight="false" outlineLevel="0" collapsed="false">
      <c r="B16" s="3" t="s">
        <v>13</v>
      </c>
    </row>
    <row r="17" customFormat="false" ht="15" hidden="false" customHeight="false" outlineLevel="0" collapsed="false">
      <c r="B17" s="4"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52"/>
    <col collapsed="false" customWidth="true" hidden="false" outlineLevel="0" max="7" min="3" style="0" width="15"/>
  </cols>
  <sheetData>
    <row r="2" customFormat="false" ht="17.35" hidden="false" customHeight="false" outlineLevel="0" collapsed="false">
      <c r="B2" s="1" t="s">
        <v>15</v>
      </c>
    </row>
    <row r="3" customFormat="false" ht="15" hidden="false" customHeight="false" outlineLevel="0" collapsed="false">
      <c r="B3" s="2" t="s">
        <v>16</v>
      </c>
    </row>
    <row r="5" customFormat="false" ht="15" hidden="false" customHeight="false" outlineLevel="0" collapsed="false">
      <c r="B5" s="3" t="s">
        <v>17</v>
      </c>
    </row>
    <row r="6" customFormat="false" ht="79.85" hidden="false" customHeight="false" outlineLevel="0" collapsed="false">
      <c r="B6" s="4" t="s">
        <v>18</v>
      </c>
    </row>
    <row r="8" customFormat="false" ht="15" hidden="false" customHeight="false" outlineLevel="0" collapsed="false">
      <c r="B8" s="3" t="s">
        <v>19</v>
      </c>
    </row>
    <row r="9" customFormat="false" ht="15" hidden="false" customHeight="false" outlineLevel="0" collapsed="false">
      <c r="B9" s="5" t="s">
        <v>20</v>
      </c>
      <c r="C9" s="6" t="s">
        <v>21</v>
      </c>
      <c r="D9" s="6" t="s">
        <v>22</v>
      </c>
      <c r="E9" s="6" t="s">
        <v>23</v>
      </c>
      <c r="F9" s="6" t="s">
        <v>24</v>
      </c>
      <c r="G9" s="6" t="s">
        <v>25</v>
      </c>
    </row>
    <row r="10" customFormat="false" ht="15" hidden="false" customHeight="false" outlineLevel="0" collapsed="false">
      <c r="B10" s="7" t="s">
        <v>26</v>
      </c>
      <c r="C10" s="8" t="n">
        <f aca="false">'Stmt Rev Exp &amp; Net Position'!C24</f>
        <v>35470125</v>
      </c>
      <c r="D10" s="8" t="n">
        <f aca="false">'Stmt Rev Exp &amp; Net Position'!D24</f>
        <v>40375150</v>
      </c>
      <c r="E10" s="8" t="n">
        <f aca="false">'Stmt Rev Exp &amp; Net Position'!E24</f>
        <v>45904150</v>
      </c>
      <c r="F10" s="8" t="n">
        <f aca="false">'Stmt Rev Exp &amp; Net Position'!F24</f>
        <v>49027875</v>
      </c>
      <c r="G10" s="8" t="n">
        <f aca="false">'Stmt Rev Exp &amp; Net Position'!G24</f>
        <v>50756225</v>
      </c>
    </row>
    <row r="11" customFormat="false" ht="15" hidden="false" customHeight="false" outlineLevel="0" collapsed="false">
      <c r="B11" s="7" t="s">
        <v>27</v>
      </c>
      <c r="C11" s="8" t="n">
        <f aca="false">'Stmt Rev Exp &amp; Net Position'!C45</f>
        <v>11021956.25</v>
      </c>
      <c r="D11" s="8" t="n">
        <f aca="false">'Stmt Rev Exp &amp; Net Position'!D45</f>
        <v>14127223.8333333</v>
      </c>
      <c r="E11" s="8" t="n">
        <f aca="false">'Stmt Rev Exp &amp; Net Position'!E45</f>
        <v>16776852.1666667</v>
      </c>
      <c r="F11" s="8" t="n">
        <f aca="false">'Stmt Rev Exp &amp; Net Position'!F45</f>
        <v>17932818.75</v>
      </c>
      <c r="G11" s="8" t="n">
        <f aca="false">'Stmt Rev Exp &amp; Net Position'!G45</f>
        <v>20072471.5833333</v>
      </c>
    </row>
    <row r="12" customFormat="false" ht="15" hidden="false" customHeight="false" outlineLevel="0" collapsed="false">
      <c r="B12" s="7" t="s">
        <v>28</v>
      </c>
      <c r="C12" s="8" t="n">
        <f aca="false">'Stmt Rev Exp &amp; Net Position'!C55</f>
        <v>26841956.25</v>
      </c>
      <c r="D12" s="8" t="n">
        <f aca="false">'Stmt Rev Exp &amp; Net Position'!D55</f>
        <v>13947223.8333333</v>
      </c>
      <c r="E12" s="8" t="n">
        <f aca="false">'Stmt Rev Exp &amp; Net Position'!E55</f>
        <v>16596852.1666667</v>
      </c>
      <c r="F12" s="8" t="n">
        <f aca="false">'Stmt Rev Exp &amp; Net Position'!F55</f>
        <v>17752818.75</v>
      </c>
      <c r="G12" s="8" t="n">
        <f aca="false">'Stmt Rev Exp &amp; Net Position'!G55</f>
        <v>19892471.5833333</v>
      </c>
    </row>
    <row r="13" customFormat="false" ht="15" hidden="false" customHeight="false" outlineLevel="0" collapsed="false">
      <c r="B13" s="7" t="s">
        <v>29</v>
      </c>
      <c r="C13" s="8" t="n">
        <f aca="false">'Stmt Net Position'!C12</f>
        <v>32841956.25</v>
      </c>
      <c r="D13" s="8" t="n">
        <f aca="false">'Stmt Net Position'!D12</f>
        <v>46789180.0833333</v>
      </c>
      <c r="E13" s="8" t="n">
        <f aca="false">'Stmt Net Position'!E12</f>
        <v>63386032.25</v>
      </c>
      <c r="F13" s="8" t="n">
        <f aca="false">'Stmt Net Position'!F12</f>
        <v>81138851</v>
      </c>
      <c r="G13" s="8" t="n">
        <f aca="false">'Stmt Net Position'!G12</f>
        <v>101031322.583333</v>
      </c>
    </row>
    <row r="14" customFormat="false" ht="15" hidden="false" customHeight="false" outlineLevel="0" collapsed="false">
      <c r="B14" s="7" t="s">
        <v>30</v>
      </c>
      <c r="C14" s="8" t="n">
        <f aca="false">'Stmt Net Position'!C23</f>
        <v>6000000</v>
      </c>
      <c r="D14" s="8" t="n">
        <f aca="false">'Stmt Net Position'!D23</f>
        <v>6000000</v>
      </c>
      <c r="E14" s="8" t="n">
        <f aca="false">'Stmt Net Position'!E23</f>
        <v>6000000</v>
      </c>
      <c r="F14" s="8" t="n">
        <f aca="false">'Stmt Net Position'!F23</f>
        <v>6000000</v>
      </c>
      <c r="G14" s="8" t="n">
        <f aca="false">'Stmt Net Position'!G23</f>
        <v>6000000</v>
      </c>
    </row>
    <row r="15" customFormat="false" ht="15" hidden="false" customHeight="false" outlineLevel="0" collapsed="false">
      <c r="B15" s="9" t="s">
        <v>31</v>
      </c>
      <c r="C15" s="10" t="n">
        <f aca="false">'Stmt Net Position'!C35</f>
        <v>26841956.25</v>
      </c>
      <c r="D15" s="10" t="n">
        <f aca="false">'Stmt Net Position'!D35</f>
        <v>40789180.0833333</v>
      </c>
      <c r="E15" s="10" t="n">
        <f aca="false">'Stmt Net Position'!E35</f>
        <v>57386032.25</v>
      </c>
      <c r="F15" s="10" t="n">
        <f aca="false">'Stmt Net Position'!F35</f>
        <v>75138851</v>
      </c>
      <c r="G15" s="10" t="n">
        <f aca="false">'Stmt Net Position'!G35</f>
        <v>95031322.5833333</v>
      </c>
    </row>
    <row r="17" customFormat="false" ht="15" hidden="false" customHeight="false" outlineLevel="0" collapsed="false">
      <c r="B17" s="3" t="s">
        <v>32</v>
      </c>
    </row>
    <row r="18" customFormat="false" ht="102.2" hidden="false" customHeight="false" outlineLevel="0" collapsed="false">
      <c r="B18" s="4" t="s">
        <v>33</v>
      </c>
    </row>
    <row r="20" customFormat="false" ht="15" hidden="false" customHeight="false" outlineLevel="0" collapsed="false">
      <c r="B20" s="3" t="s">
        <v>34</v>
      </c>
    </row>
    <row r="21" customFormat="false" ht="113.4" hidden="false" customHeight="false" outlineLevel="0" collapsed="false">
      <c r="B21" s="4" t="s">
        <v>35</v>
      </c>
    </row>
    <row r="23" customFormat="false" ht="15" hidden="false" customHeight="false" outlineLevel="0" collapsed="false">
      <c r="B23" s="3" t="s">
        <v>36</v>
      </c>
    </row>
    <row r="24" customFormat="false" ht="68.65" hidden="false" customHeight="false" outlineLevel="0" collapsed="false">
      <c r="B24" s="4" t="s">
        <v>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7" min="3" style="0" width="15"/>
  </cols>
  <sheetData>
    <row r="2" customFormat="false" ht="16.15" hidden="false" customHeight="false" outlineLevel="0" collapsed="false">
      <c r="B2" s="11" t="s">
        <v>38</v>
      </c>
    </row>
    <row r="3" customFormat="false" ht="15" hidden="false" customHeight="false" outlineLevel="0" collapsed="false">
      <c r="B3" s="2" t="s">
        <v>39</v>
      </c>
    </row>
    <row r="5" customFormat="false" ht="15" hidden="false" customHeight="false" outlineLevel="0" collapsed="false">
      <c r="B5" s="5" t="s">
        <v>40</v>
      </c>
      <c r="C5" s="6" t="s">
        <v>21</v>
      </c>
      <c r="D5" s="6" t="s">
        <v>22</v>
      </c>
      <c r="E5" s="6" t="s">
        <v>23</v>
      </c>
      <c r="F5" s="6" t="s">
        <v>24</v>
      </c>
      <c r="G5" s="6" t="s">
        <v>25</v>
      </c>
    </row>
    <row r="7" customFormat="false" ht="15" hidden="false" customHeight="false" outlineLevel="0" collapsed="false">
      <c r="B7" s="12" t="s">
        <v>41</v>
      </c>
      <c r="C7" s="13"/>
      <c r="D7" s="13"/>
      <c r="E7" s="13"/>
      <c r="F7" s="13"/>
      <c r="G7" s="13"/>
    </row>
    <row r="8" customFormat="false" ht="15" hidden="false" customHeight="false" outlineLevel="0" collapsed="false">
      <c r="B8" s="14" t="s">
        <v>42</v>
      </c>
    </row>
    <row r="9" customFormat="false" ht="15" hidden="false" customHeight="false" outlineLevel="0" collapsed="false">
      <c r="B9" s="15" t="s">
        <v>43</v>
      </c>
      <c r="C9" s="8" t="n">
        <f aca="false">'Stmt Cash Flows'!C30</f>
        <v>17372756.25</v>
      </c>
      <c r="D9" s="8" t="n">
        <f aca="false">'Stmt Cash Flows'!D30</f>
        <v>32134446.75</v>
      </c>
      <c r="E9" s="8" t="n">
        <f aca="false">'Stmt Cash Flows'!E30</f>
        <v>50057432.25</v>
      </c>
      <c r="F9" s="8" t="n">
        <f aca="false">'Stmt Cash Flows'!F30</f>
        <v>69648051</v>
      </c>
      <c r="G9" s="8" t="n">
        <f aca="false">'Stmt Cash Flows'!G30</f>
        <v>89619989.25</v>
      </c>
    </row>
    <row r="10" customFormat="false" ht="15" hidden="false" customHeight="false" outlineLevel="0" collapsed="false">
      <c r="B10" s="14" t="s">
        <v>44</v>
      </c>
    </row>
    <row r="11" customFormat="false" ht="15" hidden="false" customHeight="false" outlineLevel="0" collapsed="false">
      <c r="B11" s="15" t="s">
        <v>45</v>
      </c>
      <c r="C11" s="8" t="n">
        <f aca="false">'Source (from v13)'!C44</f>
        <v>15469200</v>
      </c>
      <c r="D11" s="8" t="n">
        <f aca="false">'Source (from v13)'!D44</f>
        <v>14654733.3333333</v>
      </c>
      <c r="E11" s="8" t="n">
        <f aca="false">'Source (from v13)'!E44</f>
        <v>13328600</v>
      </c>
      <c r="F11" s="8" t="n">
        <f aca="false">'Source (from v13)'!F44</f>
        <v>11490800</v>
      </c>
      <c r="G11" s="8" t="n">
        <f aca="false">'Source (from v13)'!G44</f>
        <v>11411333.3333333</v>
      </c>
    </row>
    <row r="12" customFormat="false" ht="15" hidden="false" customHeight="false" outlineLevel="0" collapsed="false">
      <c r="B12" s="9" t="s">
        <v>29</v>
      </c>
      <c r="C12" s="16" t="n">
        <f aca="false">C9+C11</f>
        <v>32841956.25</v>
      </c>
      <c r="D12" s="16" t="n">
        <f aca="false">D9+D11</f>
        <v>46789180.0833333</v>
      </c>
      <c r="E12" s="16" t="n">
        <f aca="false">E9+E11</f>
        <v>63386032.25</v>
      </c>
      <c r="F12" s="16" t="n">
        <f aca="false">F9+F11</f>
        <v>81138851</v>
      </c>
      <c r="G12" s="16" t="n">
        <f aca="false">G9+G11</f>
        <v>101031322.583333</v>
      </c>
    </row>
    <row r="14" customFormat="false" ht="15" hidden="false" customHeight="false" outlineLevel="0" collapsed="false">
      <c r="B14" s="12" t="s">
        <v>46</v>
      </c>
      <c r="C14" s="13"/>
      <c r="D14" s="13"/>
      <c r="E14" s="13"/>
      <c r="F14" s="13"/>
      <c r="G14" s="13"/>
    </row>
    <row r="15" customFormat="false" ht="15" hidden="false" customHeight="false" outlineLevel="0" collapsed="false">
      <c r="B15" s="17" t="s">
        <v>47</v>
      </c>
      <c r="C15" s="18" t="n">
        <v>0</v>
      </c>
      <c r="D15" s="18" t="n">
        <v>0</v>
      </c>
      <c r="E15" s="18" t="n">
        <v>0</v>
      </c>
      <c r="F15" s="18" t="n">
        <v>0</v>
      </c>
      <c r="G15" s="18" t="n">
        <v>0</v>
      </c>
    </row>
    <row r="16" customFormat="false" ht="15" hidden="false" customHeight="false" outlineLevel="0" collapsed="false">
      <c r="B16" s="9" t="s">
        <v>48</v>
      </c>
      <c r="C16" s="16" t="n">
        <f aca="false">C15</f>
        <v>0</v>
      </c>
      <c r="D16" s="16" t="n">
        <f aca="false">D15</f>
        <v>0</v>
      </c>
      <c r="E16" s="16" t="n">
        <f aca="false">E15</f>
        <v>0</v>
      </c>
      <c r="F16" s="16" t="n">
        <f aca="false">F15</f>
        <v>0</v>
      </c>
      <c r="G16" s="16" t="n">
        <f aca="false">G15</f>
        <v>0</v>
      </c>
    </row>
    <row r="18" customFormat="false" ht="15" hidden="false" customHeight="false" outlineLevel="0" collapsed="false">
      <c r="B18" s="12" t="s">
        <v>49</v>
      </c>
      <c r="C18" s="13"/>
      <c r="D18" s="13"/>
      <c r="E18" s="13"/>
      <c r="F18" s="13"/>
      <c r="G18" s="13"/>
    </row>
    <row r="19" customFormat="false" ht="15" hidden="false" customHeight="false" outlineLevel="0" collapsed="false">
      <c r="B19" s="14" t="s">
        <v>50</v>
      </c>
    </row>
    <row r="20" customFormat="false" ht="15" hidden="false" customHeight="false" outlineLevel="0" collapsed="false">
      <c r="B20" s="17" t="s">
        <v>51</v>
      </c>
      <c r="C20" s="18" t="n">
        <v>0</v>
      </c>
      <c r="D20" s="18" t="n">
        <v>0</v>
      </c>
      <c r="E20" s="18" t="n">
        <v>0</v>
      </c>
      <c r="F20" s="18" t="n">
        <v>0</v>
      </c>
      <c r="G20" s="18" t="n">
        <v>0</v>
      </c>
    </row>
    <row r="21" customFormat="false" ht="15" hidden="false" customHeight="false" outlineLevel="0" collapsed="false">
      <c r="B21" s="17" t="s">
        <v>52</v>
      </c>
      <c r="C21" s="18" t="n">
        <v>0</v>
      </c>
      <c r="D21" s="18" t="n">
        <v>0</v>
      </c>
      <c r="E21" s="18" t="n">
        <v>0</v>
      </c>
      <c r="F21" s="18" t="n">
        <v>0</v>
      </c>
      <c r="G21" s="18" t="n">
        <v>0</v>
      </c>
    </row>
    <row r="22" customFormat="false" ht="15" hidden="false" customHeight="false" outlineLevel="0" collapsed="false">
      <c r="B22" s="14" t="s">
        <v>53</v>
      </c>
    </row>
    <row r="23" customFormat="false" ht="15" hidden="false" customHeight="false" outlineLevel="0" collapsed="false">
      <c r="B23" s="15" t="s">
        <v>54</v>
      </c>
      <c r="C23" s="8" t="n">
        <f aca="false">'Source (from v13)'!C46</f>
        <v>6000000</v>
      </c>
      <c r="D23" s="8" t="n">
        <f aca="false">'Source (from v13)'!D46</f>
        <v>6000000</v>
      </c>
      <c r="E23" s="8" t="n">
        <f aca="false">'Source (from v13)'!E46</f>
        <v>6000000</v>
      </c>
      <c r="F23" s="8" t="n">
        <f aca="false">'Source (from v13)'!F46</f>
        <v>6000000</v>
      </c>
      <c r="G23" s="8" t="n">
        <f aca="false">'Source (from v13)'!G46</f>
        <v>6000000</v>
      </c>
    </row>
    <row r="24" customFormat="false" ht="15" hidden="false" customHeight="false" outlineLevel="0" collapsed="false">
      <c r="B24" s="17" t="s">
        <v>55</v>
      </c>
      <c r="C24" s="18" t="n">
        <v>0</v>
      </c>
      <c r="D24" s="18" t="n">
        <v>0</v>
      </c>
      <c r="E24" s="18" t="n">
        <v>0</v>
      </c>
      <c r="F24" s="18" t="n">
        <v>0</v>
      </c>
      <c r="G24" s="18" t="n">
        <v>0</v>
      </c>
    </row>
    <row r="25" customFormat="false" ht="15" hidden="false" customHeight="false" outlineLevel="0" collapsed="false">
      <c r="B25" s="9" t="s">
        <v>56</v>
      </c>
      <c r="C25" s="16" t="n">
        <f aca="false">C20+C21+C23+C24</f>
        <v>6000000</v>
      </c>
      <c r="D25" s="16" t="n">
        <f aca="false">D20+D21+D23+D24</f>
        <v>6000000</v>
      </c>
      <c r="E25" s="16" t="n">
        <f aca="false">E20+E21+E23+E24</f>
        <v>6000000</v>
      </c>
      <c r="F25" s="16" t="n">
        <f aca="false">F20+F21+F23+F24</f>
        <v>6000000</v>
      </c>
      <c r="G25" s="16" t="n">
        <f aca="false">G20+G21+G23+G24</f>
        <v>6000000</v>
      </c>
    </row>
    <row r="27" customFormat="false" ht="15" hidden="false" customHeight="false" outlineLevel="0" collapsed="false">
      <c r="B27" s="12" t="s">
        <v>57</v>
      </c>
      <c r="C27" s="13"/>
      <c r="D27" s="13"/>
      <c r="E27" s="13"/>
      <c r="F27" s="13"/>
      <c r="G27" s="13"/>
    </row>
    <row r="28" customFormat="false" ht="15" hidden="false" customHeight="false" outlineLevel="0" collapsed="false">
      <c r="B28" s="17" t="s">
        <v>58</v>
      </c>
      <c r="C28" s="18" t="n">
        <v>0</v>
      </c>
      <c r="D28" s="18" t="n">
        <v>0</v>
      </c>
      <c r="E28" s="18" t="n">
        <v>0</v>
      </c>
      <c r="F28" s="18" t="n">
        <v>0</v>
      </c>
      <c r="G28" s="18" t="n">
        <v>0</v>
      </c>
    </row>
    <row r="29" customFormat="false" ht="15" hidden="false" customHeight="false" outlineLevel="0" collapsed="false">
      <c r="B29" s="9" t="s">
        <v>59</v>
      </c>
      <c r="C29" s="16" t="n">
        <f aca="false">C28</f>
        <v>0</v>
      </c>
      <c r="D29" s="16" t="n">
        <f aca="false">D28</f>
        <v>0</v>
      </c>
      <c r="E29" s="16" t="n">
        <f aca="false">E28</f>
        <v>0</v>
      </c>
      <c r="F29" s="16" t="n">
        <f aca="false">F28</f>
        <v>0</v>
      </c>
      <c r="G29" s="16" t="n">
        <f aca="false">G28</f>
        <v>0</v>
      </c>
    </row>
    <row r="31" customFormat="false" ht="15" hidden="false" customHeight="false" outlineLevel="0" collapsed="false">
      <c r="B31" s="12" t="s">
        <v>60</v>
      </c>
      <c r="C31" s="13"/>
      <c r="D31" s="13"/>
      <c r="E31" s="13"/>
      <c r="F31" s="13"/>
      <c r="G31" s="13"/>
    </row>
    <row r="32" customFormat="false" ht="15" hidden="false" customHeight="false" outlineLevel="0" collapsed="false">
      <c r="B32" s="19" t="s">
        <v>61</v>
      </c>
      <c r="C32" s="20" t="n">
        <f aca="false">C11-C23-C21</f>
        <v>9469200</v>
      </c>
      <c r="D32" s="20" t="n">
        <f aca="false">D11-D23-D21</f>
        <v>8654733.33333333</v>
      </c>
      <c r="E32" s="20" t="n">
        <f aca="false">E11-E23-E21</f>
        <v>7328600</v>
      </c>
      <c r="F32" s="20" t="n">
        <f aca="false">F11-F23-F21</f>
        <v>5490800</v>
      </c>
      <c r="G32" s="20" t="n">
        <f aca="false">G11-G23-G21</f>
        <v>5411333.33333333</v>
      </c>
    </row>
    <row r="33" customFormat="false" ht="15" hidden="false" customHeight="false" outlineLevel="0" collapsed="false">
      <c r="B33" s="17" t="s">
        <v>62</v>
      </c>
      <c r="C33" s="18" t="n">
        <v>0</v>
      </c>
      <c r="D33" s="18" t="n">
        <v>0</v>
      </c>
      <c r="E33" s="18" t="n">
        <v>0</v>
      </c>
      <c r="F33" s="18" t="n">
        <v>0</v>
      </c>
      <c r="G33" s="18" t="n">
        <v>0</v>
      </c>
    </row>
    <row r="34" customFormat="false" ht="15" hidden="false" customHeight="false" outlineLevel="0" collapsed="false">
      <c r="B34" s="19" t="s">
        <v>63</v>
      </c>
      <c r="C34" s="20" t="n">
        <f aca="false">'Stmt Rev Exp &amp; Net Position'!C58-C32-C33</f>
        <v>17372756.25</v>
      </c>
      <c r="D34" s="20" t="n">
        <f aca="false">'Stmt Rev Exp &amp; Net Position'!D58-D32-D33</f>
        <v>32134446.75</v>
      </c>
      <c r="E34" s="20" t="n">
        <f aca="false">'Stmt Rev Exp &amp; Net Position'!E58-E32-E33</f>
        <v>50057432.25</v>
      </c>
      <c r="F34" s="20" t="n">
        <f aca="false">'Stmt Rev Exp &amp; Net Position'!F58-F32-F33</f>
        <v>69648051</v>
      </c>
      <c r="G34" s="20" t="n">
        <f aca="false">'Stmt Rev Exp &amp; Net Position'!G58-G32-G33</f>
        <v>89619989.25</v>
      </c>
    </row>
    <row r="35" customFormat="false" ht="15" hidden="false" customHeight="false" outlineLevel="0" collapsed="false">
      <c r="B35" s="9" t="s">
        <v>64</v>
      </c>
      <c r="C35" s="16" t="n">
        <f aca="false">C32+C33+C34</f>
        <v>26841956.25</v>
      </c>
      <c r="D35" s="16" t="n">
        <f aca="false">D32+D33+D34</f>
        <v>40789180.0833333</v>
      </c>
      <c r="E35" s="16" t="n">
        <f aca="false">E32+E33+E34</f>
        <v>57386032.25</v>
      </c>
      <c r="F35" s="16" t="n">
        <f aca="false">F32+F33+F34</f>
        <v>75138851</v>
      </c>
      <c r="G35" s="16" t="n">
        <f aca="false">G32+G33+G34</f>
        <v>95031322.5833333</v>
      </c>
    </row>
    <row r="37" customFormat="false" ht="15" hidden="false" customHeight="false" outlineLevel="0" collapsed="false">
      <c r="B37" s="14" t="s">
        <v>65</v>
      </c>
      <c r="C37" s="21" t="n">
        <f aca="false">C12+C16-(C25+C29+C35)</f>
        <v>0</v>
      </c>
      <c r="D37" s="21" t="n">
        <f aca="false">D12+D16-(D25+D29+D35)</f>
        <v>0</v>
      </c>
      <c r="E37" s="21" t="n">
        <f aca="false">E12+E16-(E25+E29+E35)</f>
        <v>0</v>
      </c>
      <c r="F37" s="21" t="n">
        <f aca="false">F12+F16-(F25+F29+F35)</f>
        <v>0</v>
      </c>
      <c r="G37" s="21" t="n">
        <f aca="false">G12+G16-(G25+G29+G35)</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7" min="3" style="0" width="15"/>
  </cols>
  <sheetData>
    <row r="2" customFormat="false" ht="16.15" hidden="false" customHeight="false" outlineLevel="0" collapsed="false">
      <c r="B2" s="11" t="s">
        <v>66</v>
      </c>
    </row>
    <row r="3" customFormat="false" ht="15" hidden="false" customHeight="false" outlineLevel="0" collapsed="false">
      <c r="B3" s="2" t="s">
        <v>67</v>
      </c>
    </row>
    <row r="5" customFormat="false" ht="15" hidden="false" customHeight="false" outlineLevel="0" collapsed="false">
      <c r="B5" s="5" t="s">
        <v>40</v>
      </c>
      <c r="C5" s="6" t="s">
        <v>21</v>
      </c>
      <c r="D5" s="6" t="s">
        <v>22</v>
      </c>
      <c r="E5" s="6" t="s">
        <v>23</v>
      </c>
      <c r="F5" s="6" t="s">
        <v>24</v>
      </c>
      <c r="G5" s="6" t="s">
        <v>25</v>
      </c>
    </row>
    <row r="7" customFormat="false" ht="15" hidden="false" customHeight="false" outlineLevel="0" collapsed="false">
      <c r="B7" s="12" t="s">
        <v>68</v>
      </c>
      <c r="C7" s="13"/>
      <c r="D7" s="13"/>
      <c r="E7" s="13"/>
      <c r="F7" s="13"/>
      <c r="G7" s="13"/>
    </row>
    <row r="8" customFormat="false" ht="15" hidden="false" customHeight="false" outlineLevel="0" collapsed="false">
      <c r="B8" s="15" t="s">
        <v>69</v>
      </c>
      <c r="C8" s="8" t="n">
        <f aca="false">'Source (from v13)'!C7</f>
        <v>19985625</v>
      </c>
      <c r="D8" s="8" t="n">
        <f aca="false">'Source (from v13)'!D7</f>
        <v>20773650</v>
      </c>
      <c r="E8" s="8" t="n">
        <f aca="false">'Source (from v13)'!E7</f>
        <v>22227150</v>
      </c>
      <c r="F8" s="8" t="n">
        <f aca="false">'Source (from v13)'!F7</f>
        <v>22336875</v>
      </c>
      <c r="G8" s="8" t="n">
        <f aca="false">'Source (from v13)'!G7</f>
        <v>21456225</v>
      </c>
    </row>
    <row r="9" customFormat="false" ht="15" hidden="false" customHeight="false" outlineLevel="0" collapsed="false">
      <c r="B9" s="15" t="s">
        <v>70</v>
      </c>
      <c r="C9" s="8" t="n">
        <f aca="false">'Source (from v13)'!C8</f>
        <v>1320000</v>
      </c>
      <c r="D9" s="8" t="n">
        <f aca="false">'Source (from v13)'!D8</f>
        <v>1480000</v>
      </c>
      <c r="E9" s="8" t="n">
        <f aca="false">'Source (from v13)'!E8</f>
        <v>1760000</v>
      </c>
      <c r="F9" s="8" t="n">
        <f aca="false">'Source (from v13)'!F8</f>
        <v>2000000</v>
      </c>
      <c r="G9" s="8" t="n">
        <f aca="false">'Source (from v13)'!G8</f>
        <v>2160000</v>
      </c>
    </row>
    <row r="10" customFormat="false" ht="15" hidden="false" customHeight="false" outlineLevel="0" collapsed="false">
      <c r="B10" s="15" t="s">
        <v>71</v>
      </c>
      <c r="C10" s="8" t="n">
        <f aca="false">'Source (from v13)'!C9</f>
        <v>1485000</v>
      </c>
      <c r="D10" s="8" t="n">
        <f aca="false">'Source (from v13)'!D9</f>
        <v>1665000</v>
      </c>
      <c r="E10" s="8" t="n">
        <f aca="false">'Source (from v13)'!E9</f>
        <v>1980000</v>
      </c>
      <c r="F10" s="8" t="n">
        <f aca="false">'Source (from v13)'!F9</f>
        <v>2250000</v>
      </c>
      <c r="G10" s="8" t="n">
        <f aca="false">'Source (from v13)'!G9</f>
        <v>2430000</v>
      </c>
    </row>
    <row r="11" customFormat="false" ht="15" hidden="false" customHeight="false" outlineLevel="0" collapsed="false">
      <c r="B11" s="15" t="s">
        <v>72</v>
      </c>
      <c r="C11" s="8" t="n">
        <f aca="false">'Source (from v13)'!C10</f>
        <v>990000</v>
      </c>
      <c r="D11" s="8" t="n">
        <f aca="false">'Source (from v13)'!D10</f>
        <v>1110000</v>
      </c>
      <c r="E11" s="8" t="n">
        <f aca="false">'Source (from v13)'!E10</f>
        <v>1320000</v>
      </c>
      <c r="F11" s="8" t="n">
        <f aca="false">'Source (from v13)'!F10</f>
        <v>1500000</v>
      </c>
      <c r="G11" s="8" t="n">
        <f aca="false">'Source (from v13)'!G10</f>
        <v>1620000</v>
      </c>
    </row>
    <row r="12" customFormat="false" ht="15" hidden="false" customHeight="false" outlineLevel="0" collapsed="false">
      <c r="B12" s="15" t="s">
        <v>73</v>
      </c>
      <c r="C12" s="8" t="n">
        <f aca="false">'Source (from v13)'!C11</f>
        <v>1650000</v>
      </c>
      <c r="D12" s="8" t="n">
        <f aca="false">'Source (from v13)'!D11</f>
        <v>1850000</v>
      </c>
      <c r="E12" s="8" t="n">
        <f aca="false">'Source (from v13)'!E11</f>
        <v>2200000</v>
      </c>
      <c r="F12" s="8" t="n">
        <f aca="false">'Source (from v13)'!F11</f>
        <v>2500000</v>
      </c>
      <c r="G12" s="8" t="n">
        <f aca="false">'Source (from v13)'!G11</f>
        <v>2700000</v>
      </c>
    </row>
    <row r="13" customFormat="false" ht="15" hidden="false" customHeight="false" outlineLevel="0" collapsed="false">
      <c r="B13" s="15" t="s">
        <v>74</v>
      </c>
      <c r="C13" s="8" t="n">
        <f aca="false">'Source (from v13)'!C12</f>
        <v>247500</v>
      </c>
      <c r="D13" s="8" t="n">
        <f aca="false">'Source (from v13)'!D12</f>
        <v>277500</v>
      </c>
      <c r="E13" s="8" t="n">
        <f aca="false">'Source (from v13)'!E12</f>
        <v>330000</v>
      </c>
      <c r="F13" s="8" t="n">
        <f aca="false">'Source (from v13)'!F12</f>
        <v>375000</v>
      </c>
      <c r="G13" s="8" t="n">
        <f aca="false">'Source (from v13)'!G12</f>
        <v>405000</v>
      </c>
    </row>
    <row r="14" customFormat="false" ht="15" hidden="false" customHeight="false" outlineLevel="0" collapsed="false">
      <c r="B14" s="15" t="s">
        <v>75</v>
      </c>
      <c r="C14" s="8" t="n">
        <f aca="false">'Source (from v13)'!C13</f>
        <v>4792000</v>
      </c>
      <c r="D14" s="8" t="n">
        <f aca="false">'Source (from v13)'!D13</f>
        <v>6589000</v>
      </c>
      <c r="E14" s="8" t="n">
        <f aca="false">'Source (from v13)'!E13</f>
        <v>7787000</v>
      </c>
      <c r="F14" s="8" t="n">
        <f aca="false">'Source (from v13)'!F13</f>
        <v>8386000</v>
      </c>
      <c r="G14" s="8" t="n">
        <f aca="false">'Source (from v13)'!G13</f>
        <v>8985000</v>
      </c>
    </row>
    <row r="15" customFormat="false" ht="15" hidden="false" customHeight="false" outlineLevel="0" collapsed="false">
      <c r="B15" s="15" t="s">
        <v>76</v>
      </c>
      <c r="C15" s="8" t="n">
        <f aca="false">'Source (from v13)'!C14</f>
        <v>900000</v>
      </c>
      <c r="D15" s="8" t="n">
        <f aca="false">'Source (from v13)'!D14</f>
        <v>1330000</v>
      </c>
      <c r="E15" s="8" t="n">
        <f aca="false">'Source (from v13)'!E14</f>
        <v>1800000</v>
      </c>
      <c r="F15" s="8" t="n">
        <f aca="false">'Source (from v13)'!F14</f>
        <v>2310000</v>
      </c>
      <c r="G15" s="8" t="n">
        <f aca="false">'Source (from v13)'!G14</f>
        <v>2750000</v>
      </c>
    </row>
    <row r="16" customFormat="false" ht="15" hidden="false" customHeight="false" outlineLevel="0" collapsed="false">
      <c r="B16" s="15" t="s">
        <v>77</v>
      </c>
      <c r="C16" s="8" t="n">
        <f aca="false">'Source (from v13)'!C15</f>
        <v>1000000</v>
      </c>
      <c r="D16" s="8" t="n">
        <f aca="false">'Source (from v13)'!D15</f>
        <v>1300000</v>
      </c>
      <c r="E16" s="8" t="n">
        <f aca="false">'Source (from v13)'!E15</f>
        <v>1600000</v>
      </c>
      <c r="F16" s="8" t="n">
        <f aca="false">'Source (from v13)'!F15</f>
        <v>1800000</v>
      </c>
      <c r="G16" s="8" t="n">
        <f aca="false">'Source (from v13)'!G15</f>
        <v>2000000</v>
      </c>
    </row>
    <row r="17" customFormat="false" ht="15" hidden="false" customHeight="false" outlineLevel="0" collapsed="false">
      <c r="B17" s="15" t="s">
        <v>78</v>
      </c>
      <c r="C17" s="8" t="n">
        <f aca="false">'Source (from v13)'!C16</f>
        <v>1000000</v>
      </c>
      <c r="D17" s="8" t="n">
        <f aca="false">'Source (from v13)'!D16</f>
        <v>1200000</v>
      </c>
      <c r="E17" s="8" t="n">
        <f aca="false">'Source (from v13)'!E16</f>
        <v>1400000</v>
      </c>
      <c r="F17" s="8" t="n">
        <f aca="false">'Source (from v13)'!F16</f>
        <v>1600000</v>
      </c>
      <c r="G17" s="8" t="n">
        <f aca="false">'Source (from v13)'!G16</f>
        <v>1800000</v>
      </c>
    </row>
    <row r="18" customFormat="false" ht="15" hidden="false" customHeight="false" outlineLevel="0" collapsed="false">
      <c r="B18" s="15" t="s">
        <v>79</v>
      </c>
      <c r="C18" s="8" t="n">
        <f aca="false">'Source (from v13)'!C17</f>
        <v>300000</v>
      </c>
      <c r="D18" s="8" t="n">
        <f aca="false">'Source (from v13)'!D17</f>
        <v>500000</v>
      </c>
      <c r="E18" s="8" t="n">
        <f aca="false">'Source (from v13)'!E17</f>
        <v>700000</v>
      </c>
      <c r="F18" s="8" t="n">
        <f aca="false">'Source (from v13)'!F17</f>
        <v>850000</v>
      </c>
      <c r="G18" s="8" t="n">
        <f aca="false">'Source (from v13)'!G17</f>
        <v>1000000</v>
      </c>
    </row>
    <row r="19" customFormat="false" ht="15" hidden="false" customHeight="false" outlineLevel="0" collapsed="false">
      <c r="B19" s="15" t="s">
        <v>80</v>
      </c>
      <c r="C19" s="8" t="n">
        <f aca="false">'Source (from v13)'!C18</f>
        <v>900000</v>
      </c>
      <c r="D19" s="8" t="n">
        <f aca="false">'Source (from v13)'!D18</f>
        <v>1100000</v>
      </c>
      <c r="E19" s="8" t="n">
        <f aca="false">'Source (from v13)'!E18</f>
        <v>1300000</v>
      </c>
      <c r="F19" s="8" t="n">
        <f aca="false">'Source (from v13)'!F18</f>
        <v>1400000</v>
      </c>
      <c r="G19" s="8" t="n">
        <f aca="false">'Source (from v13)'!G18</f>
        <v>1500000</v>
      </c>
    </row>
    <row r="20" customFormat="false" ht="15" hidden="false" customHeight="false" outlineLevel="0" collapsed="false">
      <c r="B20" s="15" t="s">
        <v>81</v>
      </c>
      <c r="C20" s="8" t="n">
        <f aca="false">'Source (from v13)'!C19</f>
        <v>350000</v>
      </c>
      <c r="D20" s="8" t="n">
        <f aca="false">'Source (from v13)'!D19</f>
        <v>450000</v>
      </c>
      <c r="E20" s="8" t="n">
        <f aca="false">'Source (from v13)'!E19</f>
        <v>550000</v>
      </c>
      <c r="F20" s="8" t="n">
        <f aca="false">'Source (from v13)'!F19</f>
        <v>600000</v>
      </c>
      <c r="G20" s="8" t="n">
        <f aca="false">'Source (from v13)'!G19</f>
        <v>650000</v>
      </c>
    </row>
    <row r="21" customFormat="false" ht="15" hidden="false" customHeight="false" outlineLevel="0" collapsed="false">
      <c r="B21" s="15" t="s">
        <v>82</v>
      </c>
      <c r="C21" s="8" t="n">
        <f aca="false">'Source (from v13)'!C20</f>
        <v>200000</v>
      </c>
      <c r="D21" s="8" t="n">
        <f aca="false">'Source (from v13)'!D20</f>
        <v>250000</v>
      </c>
      <c r="E21" s="8" t="n">
        <f aca="false">'Source (from v13)'!E20</f>
        <v>300000</v>
      </c>
      <c r="F21" s="8" t="n">
        <f aca="false">'Source (from v13)'!F20</f>
        <v>320000</v>
      </c>
      <c r="G21" s="8" t="n">
        <f aca="false">'Source (from v13)'!G20</f>
        <v>350000</v>
      </c>
    </row>
    <row r="22" customFormat="false" ht="15" hidden="false" customHeight="false" outlineLevel="0" collapsed="false">
      <c r="B22" s="15" t="s">
        <v>83</v>
      </c>
      <c r="C22" s="8" t="n">
        <f aca="false">'Source (from v13)'!C21</f>
        <v>300000</v>
      </c>
      <c r="D22" s="8" t="n">
        <f aca="false">'Source (from v13)'!D21</f>
        <v>400000</v>
      </c>
      <c r="E22" s="8" t="n">
        <f aca="false">'Source (from v13)'!E21</f>
        <v>450000</v>
      </c>
      <c r="F22" s="8" t="n">
        <f aca="false">'Source (from v13)'!F21</f>
        <v>500000</v>
      </c>
      <c r="G22" s="8" t="n">
        <f aca="false">'Source (from v13)'!G21</f>
        <v>550000</v>
      </c>
    </row>
    <row r="23" customFormat="false" ht="15" hidden="false" customHeight="false" outlineLevel="0" collapsed="false">
      <c r="B23" s="15" t="s">
        <v>84</v>
      </c>
      <c r="C23" s="8" t="n">
        <f aca="false">'Source (from v13)'!C22</f>
        <v>50000</v>
      </c>
      <c r="D23" s="8" t="n">
        <f aca="false">'Source (from v13)'!D22</f>
        <v>100000</v>
      </c>
      <c r="E23" s="8" t="n">
        <f aca="false">'Source (from v13)'!E22</f>
        <v>200000</v>
      </c>
      <c r="F23" s="8" t="n">
        <f aca="false">'Source (from v13)'!F22</f>
        <v>300000</v>
      </c>
      <c r="G23" s="8" t="n">
        <f aca="false">'Source (from v13)'!G22</f>
        <v>400000</v>
      </c>
    </row>
    <row r="24" customFormat="false" ht="15" hidden="false" customHeight="false" outlineLevel="0" collapsed="false">
      <c r="B24" s="9" t="s">
        <v>26</v>
      </c>
      <c r="C24" s="16" t="n">
        <f aca="false">SUM(C8:C23)</f>
        <v>35470125</v>
      </c>
      <c r="D24" s="16" t="n">
        <f aca="false">SUM(D8:D23)</f>
        <v>40375150</v>
      </c>
      <c r="E24" s="16" t="n">
        <f aca="false">SUM(E8:E23)</f>
        <v>45904150</v>
      </c>
      <c r="F24" s="16" t="n">
        <f aca="false">SUM(F8:F23)</f>
        <v>49027875</v>
      </c>
      <c r="G24" s="16" t="n">
        <f aca="false">SUM(G8:G23)</f>
        <v>50756225</v>
      </c>
    </row>
    <row r="26" customFormat="false" ht="15" hidden="false" customHeight="false" outlineLevel="0" collapsed="false">
      <c r="B26" s="12" t="s">
        <v>85</v>
      </c>
      <c r="C26" s="13"/>
      <c r="D26" s="13"/>
      <c r="E26" s="13"/>
      <c r="F26" s="13"/>
      <c r="G26" s="13"/>
    </row>
    <row r="27" customFormat="false" ht="15" hidden="false" customHeight="false" outlineLevel="0" collapsed="false">
      <c r="B27" s="15" t="s">
        <v>86</v>
      </c>
      <c r="C27" s="8" t="n">
        <f aca="false">'Source (from v13)'!C26</f>
        <v>6941250</v>
      </c>
      <c r="D27" s="8" t="n">
        <f aca="false">'Source (from v13)'!D26</f>
        <v>7562500</v>
      </c>
      <c r="E27" s="8" t="n">
        <f aca="false">'Source (from v13)'!E26</f>
        <v>8668750</v>
      </c>
      <c r="F27" s="8" t="n">
        <f aca="false">'Source (from v13)'!F26</f>
        <v>8946250</v>
      </c>
      <c r="G27" s="8" t="n">
        <f aca="false">'Source (from v13)'!G26</f>
        <v>9332500</v>
      </c>
    </row>
    <row r="28" customFormat="false" ht="15" hidden="false" customHeight="false" outlineLevel="0" collapsed="false">
      <c r="B28" s="15" t="s">
        <v>87</v>
      </c>
      <c r="C28" s="8" t="n">
        <f aca="false">'Source (from v13)'!C27</f>
        <v>1620000</v>
      </c>
      <c r="D28" s="8" t="n">
        <f aca="false">'Source (from v13)'!D27</f>
        <v>1669000</v>
      </c>
      <c r="E28" s="8" t="n">
        <f aca="false">'Source (from v13)'!E27</f>
        <v>1719000</v>
      </c>
      <c r="F28" s="8" t="n">
        <f aca="false">'Source (from v13)'!F27</f>
        <v>1771000</v>
      </c>
      <c r="G28" s="8" t="n">
        <f aca="false">'Source (from v13)'!G27</f>
        <v>1824000</v>
      </c>
    </row>
    <row r="29" customFormat="false" ht="15" hidden="false" customHeight="false" outlineLevel="0" collapsed="false">
      <c r="B29" s="15" t="s">
        <v>88</v>
      </c>
      <c r="C29" s="8" t="n">
        <f aca="false">'Source (from v13)'!C28</f>
        <v>600000</v>
      </c>
      <c r="D29" s="8" t="n">
        <f aca="false">'Source (from v13)'!D28</f>
        <v>620000</v>
      </c>
      <c r="E29" s="8" t="n">
        <f aca="false">'Source (from v13)'!E28</f>
        <v>640000</v>
      </c>
      <c r="F29" s="8" t="n">
        <f aca="false">'Source (from v13)'!F28</f>
        <v>660000</v>
      </c>
      <c r="G29" s="8" t="n">
        <f aca="false">'Source (from v13)'!G28</f>
        <v>680000</v>
      </c>
    </row>
    <row r="30" customFormat="false" ht="15" hidden="false" customHeight="false" outlineLevel="0" collapsed="false">
      <c r="B30" s="15" t="s">
        <v>89</v>
      </c>
      <c r="C30" s="8" t="n">
        <f aca="false">'Source (from v13)'!C29</f>
        <v>2500000</v>
      </c>
      <c r="D30" s="8" t="n">
        <f aca="false">'Source (from v13)'!D29</f>
        <v>2000000</v>
      </c>
      <c r="E30" s="8" t="n">
        <f aca="false">'Source (from v13)'!E29</f>
        <v>1800000</v>
      </c>
      <c r="F30" s="8" t="n">
        <f aca="false">'Source (from v13)'!F29</f>
        <v>1800000</v>
      </c>
      <c r="G30" s="8" t="n">
        <f aca="false">'Source (from v13)'!G29</f>
        <v>1800000</v>
      </c>
    </row>
    <row r="31" customFormat="false" ht="15" hidden="false" customHeight="false" outlineLevel="0" collapsed="false">
      <c r="B31" s="15" t="s">
        <v>90</v>
      </c>
      <c r="C31" s="8" t="n">
        <f aca="false">'Source (from v13)'!C30</f>
        <v>800000</v>
      </c>
      <c r="D31" s="8" t="n">
        <f aca="false">'Source (from v13)'!D30</f>
        <v>900000</v>
      </c>
      <c r="E31" s="8" t="n">
        <f aca="false">'Source (from v13)'!E30</f>
        <v>1000000</v>
      </c>
      <c r="F31" s="8" t="n">
        <f aca="false">'Source (from v13)'!F30</f>
        <v>1000000</v>
      </c>
      <c r="G31" s="8" t="n">
        <f aca="false">'Source (from v13)'!G30</f>
        <v>1000000</v>
      </c>
    </row>
    <row r="32" customFormat="false" ht="15" hidden="false" customHeight="false" outlineLevel="0" collapsed="false">
      <c r="B32" s="15" t="s">
        <v>91</v>
      </c>
      <c r="C32" s="8" t="n">
        <f aca="false">'Source (from v13)'!C31</f>
        <v>400000</v>
      </c>
      <c r="D32" s="8" t="n">
        <f aca="false">'Source (from v13)'!D31</f>
        <v>420000</v>
      </c>
      <c r="E32" s="8" t="n">
        <f aca="false">'Source (from v13)'!E31</f>
        <v>440000</v>
      </c>
      <c r="F32" s="8" t="n">
        <f aca="false">'Source (from v13)'!F31</f>
        <v>460000</v>
      </c>
      <c r="G32" s="8" t="n">
        <f aca="false">'Source (from v13)'!G31</f>
        <v>480000</v>
      </c>
    </row>
    <row r="33" customFormat="false" ht="15" hidden="false" customHeight="false" outlineLevel="0" collapsed="false">
      <c r="B33" s="15" t="s">
        <v>92</v>
      </c>
      <c r="C33" s="8" t="n">
        <f aca="false">'Source (from v13)'!C32</f>
        <v>600000</v>
      </c>
      <c r="D33" s="8" t="n">
        <f aca="false">'Source (from v13)'!D32</f>
        <v>700000</v>
      </c>
      <c r="E33" s="8" t="n">
        <f aca="false">'Source (from v13)'!E32</f>
        <v>800000</v>
      </c>
      <c r="F33" s="8" t="n">
        <f aca="false">'Source (from v13)'!F32</f>
        <v>850000</v>
      </c>
      <c r="G33" s="8" t="n">
        <f aca="false">'Source (from v13)'!G32</f>
        <v>900000</v>
      </c>
    </row>
    <row r="34" customFormat="false" ht="15" hidden="false" customHeight="false" outlineLevel="0" collapsed="false">
      <c r="B34" s="15" t="s">
        <v>93</v>
      </c>
      <c r="C34" s="8" t="n">
        <f aca="false">'Source (from v13)'!C33</f>
        <v>1200000</v>
      </c>
      <c r="D34" s="8" t="n">
        <f aca="false">'Source (from v13)'!D33</f>
        <v>1300000</v>
      </c>
      <c r="E34" s="8" t="n">
        <f aca="false">'Source (from v13)'!E33</f>
        <v>1400000</v>
      </c>
      <c r="F34" s="8" t="n">
        <f aca="false">'Source (from v13)'!F33</f>
        <v>1500000</v>
      </c>
      <c r="G34" s="8" t="n">
        <f aca="false">'Source (from v13)'!G33</f>
        <v>1600000</v>
      </c>
    </row>
    <row r="35" customFormat="false" ht="15" hidden="false" customHeight="false" outlineLevel="0" collapsed="false">
      <c r="B35" s="15" t="s">
        <v>94</v>
      </c>
      <c r="C35" s="8" t="n">
        <f aca="false">'Source (from v13)'!C34</f>
        <v>930000</v>
      </c>
      <c r="D35" s="8" t="n">
        <f aca="false">'Source (from v13)'!D34</f>
        <v>1000000</v>
      </c>
      <c r="E35" s="8" t="n">
        <f aca="false">'Source (from v13)'!E34</f>
        <v>1060000</v>
      </c>
      <c r="F35" s="8" t="n">
        <f aca="false">'Source (from v13)'!F34</f>
        <v>1120000</v>
      </c>
      <c r="G35" s="8" t="n">
        <f aca="false">'Source (from v13)'!G34</f>
        <v>1180000</v>
      </c>
    </row>
    <row r="36" customFormat="false" ht="15" hidden="false" customHeight="false" outlineLevel="0" collapsed="false">
      <c r="B36" s="15" t="s">
        <v>95</v>
      </c>
      <c r="C36" s="8" t="n">
        <f aca="false">'Source (from v13)'!C35</f>
        <v>1634400</v>
      </c>
      <c r="D36" s="8" t="n">
        <f aca="false">'Source (from v13)'!D35</f>
        <v>1940400</v>
      </c>
      <c r="E36" s="8" t="n">
        <f aca="false">'Source (from v13)'!E35</f>
        <v>2246400</v>
      </c>
      <c r="F36" s="8" t="n">
        <f aca="false">'Source (from v13)'!F35</f>
        <v>2552400</v>
      </c>
      <c r="G36" s="8" t="n">
        <f aca="false">'Source (from v13)'!G35</f>
        <v>2858400</v>
      </c>
    </row>
    <row r="37" customFormat="false" ht="15" hidden="false" customHeight="false" outlineLevel="0" collapsed="false">
      <c r="B37" s="15" t="s">
        <v>96</v>
      </c>
      <c r="C37" s="8" t="n">
        <f aca="false">'Source (from v13)'!C36</f>
        <v>742500</v>
      </c>
      <c r="D37" s="8" t="n">
        <f aca="false">'Source (from v13)'!D36</f>
        <v>832500</v>
      </c>
      <c r="E37" s="8" t="n">
        <f aca="false">'Source (from v13)'!E36</f>
        <v>990000</v>
      </c>
      <c r="F37" s="8" t="n">
        <f aca="false">'Source (from v13)'!F36</f>
        <v>1125000</v>
      </c>
      <c r="G37" s="8" t="n">
        <f aca="false">'Source (from v13)'!G36</f>
        <v>1215000</v>
      </c>
    </row>
    <row r="38" customFormat="false" ht="15" hidden="false" customHeight="false" outlineLevel="0" collapsed="false">
      <c r="B38" s="15" t="s">
        <v>97</v>
      </c>
      <c r="C38" s="8" t="n">
        <f aca="false">'Source (from v13)'!C37</f>
        <v>1876875</v>
      </c>
      <c r="D38" s="8" t="n">
        <f aca="false">'Source (from v13)'!D37</f>
        <v>2104375</v>
      </c>
      <c r="E38" s="8" t="n">
        <f aca="false">'Source (from v13)'!E37</f>
        <v>2502500</v>
      </c>
      <c r="F38" s="8" t="n">
        <f aca="false">'Source (from v13)'!F37</f>
        <v>2843750</v>
      </c>
      <c r="G38" s="8" t="n">
        <f aca="false">'Source (from v13)'!G37</f>
        <v>3071250</v>
      </c>
    </row>
    <row r="39" customFormat="false" ht="15" hidden="false" customHeight="false" outlineLevel="0" collapsed="false">
      <c r="B39" s="15" t="s">
        <v>98</v>
      </c>
      <c r="C39" s="8" t="n">
        <f aca="false">'Source (from v13)'!C38</f>
        <v>330000</v>
      </c>
      <c r="D39" s="8" t="n">
        <f aca="false">'Source (from v13)'!D38</f>
        <v>370000</v>
      </c>
      <c r="E39" s="8" t="n">
        <f aca="false">'Source (from v13)'!E38</f>
        <v>440000</v>
      </c>
      <c r="F39" s="8" t="n">
        <f aca="false">'Source (from v13)'!F38</f>
        <v>500000</v>
      </c>
      <c r="G39" s="8" t="n">
        <f aca="false">'Source (from v13)'!G38</f>
        <v>540000</v>
      </c>
    </row>
    <row r="40" customFormat="false" ht="15" hidden="false" customHeight="false" outlineLevel="0" collapsed="false">
      <c r="B40" s="15" t="s">
        <v>99</v>
      </c>
      <c r="C40" s="8" t="n">
        <f aca="false">'Source (from v13)'!C39</f>
        <v>770343.75</v>
      </c>
      <c r="D40" s="8" t="n">
        <f aca="false">'Source (from v13)'!D39</f>
        <v>814684.5</v>
      </c>
      <c r="E40" s="8" t="n">
        <f aca="false">'Source (from v13)'!E39</f>
        <v>894514.5</v>
      </c>
      <c r="F40" s="8" t="n">
        <f aca="false">'Source (from v13)'!F39</f>
        <v>928856.25</v>
      </c>
      <c r="G40" s="8" t="n">
        <f aca="false">'Source (from v13)'!G39</f>
        <v>923136.75</v>
      </c>
    </row>
    <row r="41" customFormat="false" ht="15" hidden="false" customHeight="false" outlineLevel="0" collapsed="false">
      <c r="B41" s="15" t="s">
        <v>100</v>
      </c>
      <c r="C41" s="8" t="n">
        <f aca="false">'Source (from v13)'!C40</f>
        <v>400000</v>
      </c>
      <c r="D41" s="8" t="n">
        <f aca="false">'Source (from v13)'!D40</f>
        <v>400000</v>
      </c>
      <c r="E41" s="8" t="n">
        <f aca="false">'Source (from v13)'!E40</f>
        <v>400000</v>
      </c>
      <c r="F41" s="8" t="n">
        <f aca="false">'Source (from v13)'!F40</f>
        <v>400000</v>
      </c>
      <c r="G41" s="8" t="n">
        <f aca="false">'Source (from v13)'!G40</f>
        <v>400000</v>
      </c>
    </row>
    <row r="42" customFormat="false" ht="15" hidden="false" customHeight="false" outlineLevel="0" collapsed="false">
      <c r="B42" s="15" t="s">
        <v>101</v>
      </c>
      <c r="C42" s="8" t="n">
        <f aca="false">'Source (from v13)'!C42</f>
        <v>3102800</v>
      </c>
      <c r="D42" s="8" t="n">
        <f aca="false">'Source (from v13)'!D42</f>
        <v>3614466.66666667</v>
      </c>
      <c r="E42" s="8" t="n">
        <f aca="false">'Source (from v13)'!E42</f>
        <v>4126133.33333333</v>
      </c>
      <c r="F42" s="8" t="n">
        <f aca="false">'Source (from v13)'!F42</f>
        <v>4637800</v>
      </c>
      <c r="G42" s="8" t="n">
        <f aca="false">'Source (from v13)'!G42</f>
        <v>2879466.66666667</v>
      </c>
    </row>
    <row r="43" customFormat="false" ht="15" hidden="false" customHeight="false" outlineLevel="0" collapsed="false">
      <c r="B43" s="9" t="s">
        <v>102</v>
      </c>
      <c r="C43" s="16" t="n">
        <f aca="false">SUM(C27:C42)</f>
        <v>24448168.75</v>
      </c>
      <c r="D43" s="16" t="n">
        <f aca="false">SUM(D27:D42)</f>
        <v>26247926.1666667</v>
      </c>
      <c r="E43" s="16" t="n">
        <f aca="false">SUM(E27:E42)</f>
        <v>29127297.8333333</v>
      </c>
      <c r="F43" s="16" t="n">
        <f aca="false">SUM(F27:F42)</f>
        <v>31095056.25</v>
      </c>
      <c r="G43" s="16" t="n">
        <f aca="false">SUM(G27:G42)</f>
        <v>30683753.4166667</v>
      </c>
    </row>
    <row r="45" customFormat="false" ht="15" hidden="false" customHeight="false" outlineLevel="0" collapsed="false">
      <c r="B45" s="9" t="s">
        <v>27</v>
      </c>
      <c r="C45" s="16" t="n">
        <f aca="false">C24-C43</f>
        <v>11021956.25</v>
      </c>
      <c r="D45" s="16" t="n">
        <f aca="false">D24-D43</f>
        <v>14127223.8333333</v>
      </c>
      <c r="E45" s="16" t="n">
        <f aca="false">E24-E43</f>
        <v>16776852.1666667</v>
      </c>
      <c r="F45" s="16" t="n">
        <f aca="false">F24-F43</f>
        <v>17932818.75</v>
      </c>
      <c r="G45" s="16" t="n">
        <f aca="false">G24-G43</f>
        <v>20072471.5833333</v>
      </c>
    </row>
    <row r="47" customFormat="false" ht="15" hidden="false" customHeight="false" outlineLevel="0" collapsed="false">
      <c r="B47" s="12" t="s">
        <v>103</v>
      </c>
      <c r="C47" s="13"/>
      <c r="D47" s="13"/>
      <c r="E47" s="13"/>
      <c r="F47" s="13"/>
      <c r="G47" s="13"/>
    </row>
    <row r="48" customFormat="false" ht="15" hidden="false" customHeight="false" outlineLevel="0" collapsed="false">
      <c r="B48" s="15" t="s">
        <v>104</v>
      </c>
      <c r="C48" s="8" t="n">
        <f aca="false">'Source (from v13)'!C24</f>
        <v>300000</v>
      </c>
      <c r="D48" s="8" t="n">
        <f aca="false">'Source (from v13)'!D24</f>
        <v>300000</v>
      </c>
      <c r="E48" s="8" t="n">
        <f aca="false">'Source (from v13)'!E24</f>
        <v>300000</v>
      </c>
      <c r="F48" s="8" t="n">
        <f aca="false">'Source (from v13)'!F24</f>
        <v>300000</v>
      </c>
      <c r="G48" s="8" t="n">
        <f aca="false">'Source (from v13)'!G24</f>
        <v>300000</v>
      </c>
    </row>
    <row r="49" customFormat="false" ht="15" hidden="false" customHeight="false" outlineLevel="0" collapsed="false">
      <c r="B49" s="17" t="s">
        <v>105</v>
      </c>
      <c r="C49" s="18" t="n">
        <v>0</v>
      </c>
      <c r="D49" s="18" t="n">
        <v>0</v>
      </c>
      <c r="E49" s="18" t="n">
        <v>0</v>
      </c>
      <c r="F49" s="18" t="n">
        <v>0</v>
      </c>
      <c r="G49" s="18" t="n">
        <v>0</v>
      </c>
    </row>
    <row r="50" customFormat="false" ht="15" hidden="false" customHeight="false" outlineLevel="0" collapsed="false">
      <c r="B50" s="15" t="s">
        <v>106</v>
      </c>
      <c r="C50" s="8" t="n">
        <f aca="false">-'Source (from v13)'!C43</f>
        <v>-480000</v>
      </c>
      <c r="D50" s="8" t="n">
        <f aca="false">-'Source (from v13)'!D43</f>
        <v>-480000</v>
      </c>
      <c r="E50" s="8" t="n">
        <f aca="false">-'Source (from v13)'!E43</f>
        <v>-480000</v>
      </c>
      <c r="F50" s="8" t="n">
        <f aca="false">-'Source (from v13)'!F43</f>
        <v>-480000</v>
      </c>
      <c r="G50" s="8" t="n">
        <f aca="false">-'Source (from v13)'!G43</f>
        <v>-480000</v>
      </c>
    </row>
    <row r="51" customFormat="false" ht="15" hidden="false" customHeight="false" outlineLevel="0" collapsed="false">
      <c r="B51" s="9" t="s">
        <v>107</v>
      </c>
      <c r="C51" s="16" t="n">
        <f aca="false">C48+C49+C50</f>
        <v>-180000</v>
      </c>
      <c r="D51" s="16" t="n">
        <f aca="false">D48+D49+D50</f>
        <v>-180000</v>
      </c>
      <c r="E51" s="16" t="n">
        <f aca="false">E48+E49+E50</f>
        <v>-180000</v>
      </c>
      <c r="F51" s="16" t="n">
        <f aca="false">F48+F49+F50</f>
        <v>-180000</v>
      </c>
      <c r="G51" s="16" t="n">
        <f aca="false">G48+G49+G50</f>
        <v>-180000</v>
      </c>
    </row>
    <row r="53" customFormat="false" ht="15" hidden="false" customHeight="false" outlineLevel="0" collapsed="false">
      <c r="B53" s="9" t="s">
        <v>108</v>
      </c>
      <c r="C53" s="16" t="n">
        <f aca="false">C45+C51</f>
        <v>10841956.25</v>
      </c>
      <c r="D53" s="16" t="n">
        <f aca="false">D45+D51</f>
        <v>13947223.8333333</v>
      </c>
      <c r="E53" s="16" t="n">
        <f aca="false">E45+E51</f>
        <v>16596852.1666667</v>
      </c>
      <c r="F53" s="16" t="n">
        <f aca="false">F45+F51</f>
        <v>17752818.75</v>
      </c>
      <c r="G53" s="16" t="n">
        <f aca="false">G45+G51</f>
        <v>19892471.5833333</v>
      </c>
    </row>
    <row r="54" customFormat="false" ht="15" hidden="false" customHeight="false" outlineLevel="0" collapsed="false">
      <c r="B54" s="15" t="s">
        <v>109</v>
      </c>
      <c r="C54" s="8" t="n">
        <f aca="false">'Source (from v13)'!C48</f>
        <v>16000000</v>
      </c>
      <c r="D54" s="8" t="n">
        <f aca="false">'Source (from v13)'!D48</f>
        <v>0</v>
      </c>
      <c r="E54" s="8" t="n">
        <f aca="false">'Source (from v13)'!E48</f>
        <v>0</v>
      </c>
      <c r="F54" s="8" t="n">
        <f aca="false">'Source (from v13)'!F48</f>
        <v>0</v>
      </c>
      <c r="G54" s="8" t="n">
        <f aca="false">'Source (from v13)'!G48</f>
        <v>0</v>
      </c>
    </row>
    <row r="55" customFormat="false" ht="15" hidden="false" customHeight="false" outlineLevel="0" collapsed="false">
      <c r="B55" s="9" t="s">
        <v>28</v>
      </c>
      <c r="C55" s="16" t="n">
        <f aca="false">C53+C54</f>
        <v>26841956.25</v>
      </c>
      <c r="D55" s="16" t="n">
        <f aca="false">D53+D54</f>
        <v>13947223.8333333</v>
      </c>
      <c r="E55" s="16" t="n">
        <f aca="false">E53+E54</f>
        <v>16596852.1666667</v>
      </c>
      <c r="F55" s="16" t="n">
        <f aca="false">F53+F54</f>
        <v>17752818.75</v>
      </c>
      <c r="G55" s="16" t="n">
        <f aca="false">G53+G54</f>
        <v>19892471.5833333</v>
      </c>
    </row>
    <row r="57" customFormat="false" ht="15" hidden="false" customHeight="false" outlineLevel="0" collapsed="false">
      <c r="B57" s="19" t="s">
        <v>110</v>
      </c>
      <c r="C57" s="20" t="n">
        <f aca="false">0</f>
        <v>0</v>
      </c>
      <c r="D57" s="20" t="n">
        <f aca="false">C58</f>
        <v>26841956.25</v>
      </c>
      <c r="E57" s="20" t="n">
        <f aca="false">D58</f>
        <v>40789180.0833333</v>
      </c>
      <c r="F57" s="20" t="n">
        <f aca="false">E58</f>
        <v>57386032.25</v>
      </c>
      <c r="G57" s="20" t="n">
        <f aca="false">F58</f>
        <v>75138851</v>
      </c>
    </row>
    <row r="58" customFormat="false" ht="15" hidden="false" customHeight="false" outlineLevel="0" collapsed="false">
      <c r="B58" s="9" t="s">
        <v>111</v>
      </c>
      <c r="C58" s="22" t="n">
        <f aca="false">C57+C55</f>
        <v>26841956.25</v>
      </c>
      <c r="D58" s="22" t="n">
        <f aca="false">D57+D55</f>
        <v>40789180.0833333</v>
      </c>
      <c r="E58" s="22" t="n">
        <f aca="false">E57+E55</f>
        <v>57386032.25</v>
      </c>
      <c r="F58" s="22" t="n">
        <f aca="false">F57+F55</f>
        <v>75138851</v>
      </c>
      <c r="G58" s="22" t="n">
        <f aca="false">G57+G55</f>
        <v>95031322.5833333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7" min="3" style="0" width="15"/>
  </cols>
  <sheetData>
    <row r="2" customFormat="false" ht="16.15" hidden="false" customHeight="false" outlineLevel="0" collapsed="false">
      <c r="B2" s="11" t="s">
        <v>112</v>
      </c>
    </row>
    <row r="3" customFormat="false" ht="15" hidden="false" customHeight="false" outlineLevel="0" collapsed="false">
      <c r="B3" s="2" t="s">
        <v>113</v>
      </c>
    </row>
    <row r="5" customFormat="false" ht="15" hidden="false" customHeight="false" outlineLevel="0" collapsed="false">
      <c r="B5" s="5" t="s">
        <v>40</v>
      </c>
      <c r="C5" s="6" t="s">
        <v>21</v>
      </c>
      <c r="D5" s="6" t="s">
        <v>22</v>
      </c>
      <c r="E5" s="6" t="s">
        <v>23</v>
      </c>
      <c r="F5" s="6" t="s">
        <v>24</v>
      </c>
      <c r="G5" s="6" t="s">
        <v>25</v>
      </c>
    </row>
    <row r="7" customFormat="false" ht="15" hidden="false" customHeight="false" outlineLevel="0" collapsed="false">
      <c r="B7" s="12" t="s">
        <v>114</v>
      </c>
      <c r="C7" s="13"/>
      <c r="D7" s="13"/>
      <c r="E7" s="13"/>
      <c r="F7" s="13"/>
      <c r="G7" s="13"/>
    </row>
    <row r="8" customFormat="false" ht="15" hidden="false" customHeight="false" outlineLevel="0" collapsed="false">
      <c r="B8" s="15" t="s">
        <v>115</v>
      </c>
      <c r="C8" s="8" t="n">
        <f aca="false">'Stmt Rev Exp &amp; Net Position'!C24</f>
        <v>35470125</v>
      </c>
      <c r="D8" s="8" t="n">
        <f aca="false">'Stmt Rev Exp &amp; Net Position'!D24</f>
        <v>40375150</v>
      </c>
      <c r="E8" s="8" t="n">
        <f aca="false">'Stmt Rev Exp &amp; Net Position'!E24</f>
        <v>45904150</v>
      </c>
      <c r="F8" s="8" t="n">
        <f aca="false">'Stmt Rev Exp &amp; Net Position'!F24</f>
        <v>49027875</v>
      </c>
      <c r="G8" s="8" t="n">
        <f aca="false">'Stmt Rev Exp &amp; Net Position'!G24</f>
        <v>50756225</v>
      </c>
    </row>
    <row r="9" customFormat="false" ht="15" hidden="false" customHeight="false" outlineLevel="0" collapsed="false">
      <c r="B9" s="15" t="s">
        <v>116</v>
      </c>
      <c r="C9" s="8" t="n">
        <f aca="false">-('Stmt Rev Exp &amp; Net Position'!C43-'Source (from v13)'!C42-'Source (from v13)'!C26)</f>
        <v>-14404118.75</v>
      </c>
      <c r="D9" s="8" t="n">
        <f aca="false">-('Stmt Rev Exp &amp; Net Position'!D43-'Source (from v13)'!D42-'Source (from v13)'!D26)</f>
        <v>-15070959.5</v>
      </c>
      <c r="E9" s="8" t="n">
        <f aca="false">-('Stmt Rev Exp &amp; Net Position'!E43-'Source (from v13)'!E42-'Source (from v13)'!E26)</f>
        <v>-16332414.5</v>
      </c>
      <c r="F9" s="8" t="n">
        <f aca="false">-('Stmt Rev Exp &amp; Net Position'!F43-'Source (from v13)'!F42-'Source (from v13)'!F26)</f>
        <v>-17511006.25</v>
      </c>
      <c r="G9" s="8" t="n">
        <f aca="false">-('Stmt Rev Exp &amp; Net Position'!G43-'Source (from v13)'!G42-'Source (from v13)'!G26)</f>
        <v>-18471786.75</v>
      </c>
    </row>
    <row r="10" customFormat="false" ht="15" hidden="false" customHeight="false" outlineLevel="0" collapsed="false">
      <c r="B10" s="15" t="s">
        <v>117</v>
      </c>
      <c r="C10" s="8" t="n">
        <f aca="false">-'Source (from v13)'!C26</f>
        <v>-6941250</v>
      </c>
      <c r="D10" s="8" t="n">
        <f aca="false">-'Source (from v13)'!D26</f>
        <v>-7562500</v>
      </c>
      <c r="E10" s="8" t="n">
        <f aca="false">-'Source (from v13)'!E26</f>
        <v>-8668750</v>
      </c>
      <c r="F10" s="8" t="n">
        <f aca="false">-'Source (from v13)'!F26</f>
        <v>-8946250</v>
      </c>
      <c r="G10" s="8" t="n">
        <f aca="false">-'Source (from v13)'!G26</f>
        <v>-9332500</v>
      </c>
    </row>
    <row r="11" customFormat="false" ht="15" hidden="false" customHeight="false" outlineLevel="0" collapsed="false">
      <c r="B11" s="9" t="s">
        <v>118</v>
      </c>
      <c r="C11" s="16" t="n">
        <f aca="false">C8+C9+C10</f>
        <v>14124756.25</v>
      </c>
      <c r="D11" s="16" t="n">
        <f aca="false">D8+D9+D10</f>
        <v>17741690.5</v>
      </c>
      <c r="E11" s="16" t="n">
        <f aca="false">E8+E9+E10</f>
        <v>20902985.5</v>
      </c>
      <c r="F11" s="16" t="n">
        <f aca="false">F8+F9+F10</f>
        <v>22570618.75</v>
      </c>
      <c r="G11" s="16" t="n">
        <f aca="false">G8+G9+G10</f>
        <v>22951938.25</v>
      </c>
    </row>
    <row r="13" customFormat="false" ht="15" hidden="false" customHeight="false" outlineLevel="0" collapsed="false">
      <c r="B13" s="12" t="s">
        <v>119</v>
      </c>
      <c r="C13" s="13"/>
      <c r="D13" s="13"/>
      <c r="E13" s="13"/>
      <c r="F13" s="13"/>
      <c r="G13" s="13"/>
    </row>
    <row r="14" customFormat="false" ht="15" hidden="false" customHeight="false" outlineLevel="0" collapsed="false">
      <c r="B14" s="15" t="s">
        <v>120</v>
      </c>
      <c r="C14" s="8" t="n">
        <f aca="false">'Source (from v13)'!C24</f>
        <v>300000</v>
      </c>
      <c r="D14" s="8" t="n">
        <f aca="false">'Source (from v13)'!D24</f>
        <v>300000</v>
      </c>
      <c r="E14" s="8" t="n">
        <f aca="false">'Source (from v13)'!E24</f>
        <v>300000</v>
      </c>
      <c r="F14" s="8" t="n">
        <f aca="false">'Source (from v13)'!F24</f>
        <v>300000</v>
      </c>
      <c r="G14" s="8" t="n">
        <f aca="false">'Source (from v13)'!G24</f>
        <v>300000</v>
      </c>
    </row>
    <row r="15" customFormat="false" ht="15" hidden="false" customHeight="false" outlineLevel="0" collapsed="false">
      <c r="B15" s="9" t="s">
        <v>121</v>
      </c>
      <c r="C15" s="16" t="n">
        <f aca="false">C14</f>
        <v>300000</v>
      </c>
      <c r="D15" s="16" t="n">
        <f aca="false">D14</f>
        <v>300000</v>
      </c>
      <c r="E15" s="16" t="n">
        <f aca="false">E14</f>
        <v>300000</v>
      </c>
      <c r="F15" s="16" t="n">
        <f aca="false">F14</f>
        <v>300000</v>
      </c>
      <c r="G15" s="16" t="n">
        <f aca="false">G14</f>
        <v>300000</v>
      </c>
    </row>
    <row r="17" customFormat="false" ht="15" hidden="false" customHeight="false" outlineLevel="0" collapsed="false">
      <c r="B17" s="12" t="s">
        <v>122</v>
      </c>
      <c r="C17" s="13"/>
      <c r="D17" s="13"/>
      <c r="E17" s="13"/>
      <c r="F17" s="13"/>
      <c r="G17" s="13"/>
    </row>
    <row r="18" customFormat="false" ht="15" hidden="false" customHeight="false" outlineLevel="0" collapsed="false">
      <c r="B18" s="15" t="s">
        <v>109</v>
      </c>
      <c r="C18" s="8" t="n">
        <f aca="false">'Source (from v13)'!C48</f>
        <v>16000000</v>
      </c>
      <c r="D18" s="8" t="n">
        <f aca="false">'Source (from v13)'!D48</f>
        <v>0</v>
      </c>
      <c r="E18" s="8" t="n">
        <f aca="false">'Source (from v13)'!E48</f>
        <v>0</v>
      </c>
      <c r="F18" s="8" t="n">
        <f aca="false">'Source (from v13)'!F48</f>
        <v>0</v>
      </c>
      <c r="G18" s="8" t="n">
        <f aca="false">'Source (from v13)'!G48</f>
        <v>0</v>
      </c>
    </row>
    <row r="19" customFormat="false" ht="15" hidden="false" customHeight="false" outlineLevel="0" collapsed="false">
      <c r="B19" s="15" t="s">
        <v>123</v>
      </c>
      <c r="C19" s="8" t="n">
        <f aca="false">'Source (from v13)'!C47</f>
        <v>6000000</v>
      </c>
      <c r="D19" s="8" t="n">
        <f aca="false">'Source (from v13)'!D47</f>
        <v>0</v>
      </c>
      <c r="E19" s="8" t="n">
        <f aca="false">'Source (from v13)'!E47</f>
        <v>0</v>
      </c>
      <c r="F19" s="8" t="n">
        <f aca="false">'Source (from v13)'!F47</f>
        <v>0</v>
      </c>
      <c r="G19" s="8" t="n">
        <f aca="false">'Source (from v13)'!G47</f>
        <v>0</v>
      </c>
    </row>
    <row r="20" customFormat="false" ht="15" hidden="false" customHeight="false" outlineLevel="0" collapsed="false">
      <c r="B20" s="15" t="s">
        <v>124</v>
      </c>
      <c r="C20" s="8" t="n">
        <f aca="false">-'Source (from v13)'!C45</f>
        <v>-18572000</v>
      </c>
      <c r="D20" s="8" t="n">
        <f aca="false">-'Source (from v13)'!D45</f>
        <v>-2800000</v>
      </c>
      <c r="E20" s="8" t="n">
        <f aca="false">-'Source (from v13)'!E45</f>
        <v>-2800000</v>
      </c>
      <c r="F20" s="8" t="n">
        <f aca="false">-'Source (from v13)'!F45</f>
        <v>-2800000</v>
      </c>
      <c r="G20" s="8" t="n">
        <f aca="false">-'Source (from v13)'!G45</f>
        <v>-2800000</v>
      </c>
    </row>
    <row r="21" customFormat="false" ht="15" hidden="false" customHeight="false" outlineLevel="0" collapsed="false">
      <c r="B21" s="15" t="s">
        <v>125</v>
      </c>
      <c r="C21" s="8" t="n">
        <f aca="false">-'Source (from v13)'!C43</f>
        <v>-480000</v>
      </c>
      <c r="D21" s="8" t="n">
        <f aca="false">-'Source (from v13)'!D43</f>
        <v>-480000</v>
      </c>
      <c r="E21" s="8" t="n">
        <f aca="false">-'Source (from v13)'!E43</f>
        <v>-480000</v>
      </c>
      <c r="F21" s="8" t="n">
        <f aca="false">-'Source (from v13)'!F43</f>
        <v>-480000</v>
      </c>
      <c r="G21" s="8" t="n">
        <f aca="false">-'Source (from v13)'!G43</f>
        <v>-480000</v>
      </c>
    </row>
    <row r="22" customFormat="false" ht="15" hidden="false" customHeight="false" outlineLevel="0" collapsed="false">
      <c r="B22" s="9" t="s">
        <v>126</v>
      </c>
      <c r="C22" s="16" t="n">
        <f aca="false">C18+C19+C20+C21</f>
        <v>2948000</v>
      </c>
      <c r="D22" s="16" t="n">
        <f aca="false">D18+D19+D20+D21</f>
        <v>-3280000</v>
      </c>
      <c r="E22" s="16" t="n">
        <f aca="false">E18+E19+E20+E21</f>
        <v>-3280000</v>
      </c>
      <c r="F22" s="16" t="n">
        <f aca="false">F18+F19+F20+F21</f>
        <v>-3280000</v>
      </c>
      <c r="G22" s="16" t="n">
        <f aca="false">G18+G19+G20+G21</f>
        <v>-3280000</v>
      </c>
    </row>
    <row r="24" customFormat="false" ht="15" hidden="false" customHeight="false" outlineLevel="0" collapsed="false">
      <c r="B24" s="12" t="s">
        <v>127</v>
      </c>
      <c r="C24" s="13"/>
      <c r="D24" s="13"/>
      <c r="E24" s="13"/>
      <c r="F24" s="13"/>
      <c r="G24" s="13"/>
    </row>
    <row r="25" customFormat="false" ht="15" hidden="false" customHeight="false" outlineLevel="0" collapsed="false">
      <c r="B25" s="17" t="s">
        <v>128</v>
      </c>
      <c r="C25" s="18" t="n">
        <v>0</v>
      </c>
      <c r="D25" s="18" t="n">
        <v>0</v>
      </c>
      <c r="E25" s="18" t="n">
        <v>0</v>
      </c>
      <c r="F25" s="18" t="n">
        <v>0</v>
      </c>
      <c r="G25" s="18" t="n">
        <v>0</v>
      </c>
    </row>
    <row r="26" customFormat="false" ht="15" hidden="false" customHeight="false" outlineLevel="0" collapsed="false">
      <c r="B26" s="9" t="s">
        <v>129</v>
      </c>
      <c r="C26" s="16" t="n">
        <f aca="false">C25</f>
        <v>0</v>
      </c>
      <c r="D26" s="16" t="n">
        <f aca="false">D25</f>
        <v>0</v>
      </c>
      <c r="E26" s="16" t="n">
        <f aca="false">E25</f>
        <v>0</v>
      </c>
      <c r="F26" s="16" t="n">
        <f aca="false">F25</f>
        <v>0</v>
      </c>
      <c r="G26" s="16" t="n">
        <f aca="false">G25</f>
        <v>0</v>
      </c>
    </row>
    <row r="28" customFormat="false" ht="15" hidden="false" customHeight="false" outlineLevel="0" collapsed="false">
      <c r="B28" s="9" t="s">
        <v>130</v>
      </c>
      <c r="C28" s="16" t="n">
        <f aca="false">C11+C15+C22+C26</f>
        <v>17372756.25</v>
      </c>
      <c r="D28" s="16" t="n">
        <f aca="false">D11+D15+D22+D26</f>
        <v>14761690.5</v>
      </c>
      <c r="E28" s="16" t="n">
        <f aca="false">E11+E15+E22+E26</f>
        <v>17922985.5</v>
      </c>
      <c r="F28" s="16" t="n">
        <f aca="false">F11+F15+F22+F26</f>
        <v>19590618.75</v>
      </c>
      <c r="G28" s="16" t="n">
        <f aca="false">G11+G15+G22+G26</f>
        <v>19971938.25</v>
      </c>
    </row>
    <row r="29" customFormat="false" ht="15" hidden="false" customHeight="false" outlineLevel="0" collapsed="false">
      <c r="B29" s="19" t="s">
        <v>131</v>
      </c>
      <c r="C29" s="20" t="n">
        <f aca="false">0</f>
        <v>0</v>
      </c>
      <c r="D29" s="20" t="n">
        <f aca="false">C30</f>
        <v>17372756.25</v>
      </c>
      <c r="E29" s="20" t="n">
        <f aca="false">D30</f>
        <v>32134446.75</v>
      </c>
      <c r="F29" s="20" t="n">
        <f aca="false">E30</f>
        <v>50057432.25</v>
      </c>
      <c r="G29" s="20" t="n">
        <f aca="false">F30</f>
        <v>69648051</v>
      </c>
    </row>
    <row r="30" customFormat="false" ht="15" hidden="false" customHeight="false" outlineLevel="0" collapsed="false">
      <c r="B30" s="9" t="s">
        <v>132</v>
      </c>
      <c r="C30" s="22" t="n">
        <f aca="false">C29+C28</f>
        <v>17372756.25</v>
      </c>
      <c r="D30" s="22" t="n">
        <f aca="false">D29+D28</f>
        <v>32134446.75</v>
      </c>
      <c r="E30" s="22" t="n">
        <f aca="false">E29+E28</f>
        <v>50057432.25</v>
      </c>
      <c r="F30" s="22" t="n">
        <f aca="false">F29+F28</f>
        <v>69648051</v>
      </c>
      <c r="G30" s="22" t="n">
        <f aca="false">G29+G28</f>
        <v>89619989.25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7" min="3" style="0" width="15"/>
  </cols>
  <sheetData>
    <row r="2" customFormat="false" ht="16.15" hidden="false" customHeight="false" outlineLevel="0" collapsed="false">
      <c r="B2" s="11" t="s">
        <v>133</v>
      </c>
    </row>
    <row r="3" customFormat="false" ht="15" hidden="false" customHeight="false" outlineLevel="0" collapsed="false">
      <c r="B3" s="2" t="s">
        <v>134</v>
      </c>
    </row>
    <row r="5" customFormat="false" ht="15" hidden="false" customHeight="false" outlineLevel="0" collapsed="false">
      <c r="B5" s="5" t="s">
        <v>40</v>
      </c>
      <c r="C5" s="6" t="s">
        <v>21</v>
      </c>
      <c r="D5" s="6" t="s">
        <v>22</v>
      </c>
      <c r="E5" s="6" t="s">
        <v>23</v>
      </c>
      <c r="F5" s="6" t="s">
        <v>24</v>
      </c>
      <c r="G5" s="6" t="s">
        <v>25</v>
      </c>
    </row>
    <row r="7" customFormat="false" ht="15" hidden="false" customHeight="false" outlineLevel="0" collapsed="false">
      <c r="B7" s="12" t="s">
        <v>135</v>
      </c>
      <c r="C7" s="13"/>
      <c r="D7" s="13"/>
      <c r="E7" s="13"/>
      <c r="F7" s="13"/>
      <c r="G7" s="13"/>
    </row>
    <row r="8" customFormat="false" ht="15" hidden="false" customHeight="false" outlineLevel="0" collapsed="false">
      <c r="B8" s="15" t="s">
        <v>27</v>
      </c>
      <c r="C8" s="8" t="n">
        <f aca="false">'Stmt Rev Exp &amp; Net Position'!C45</f>
        <v>11021956.25</v>
      </c>
      <c r="D8" s="8" t="n">
        <f aca="false">'Stmt Rev Exp &amp; Net Position'!D45</f>
        <v>14127223.8333333</v>
      </c>
      <c r="E8" s="8" t="n">
        <f aca="false">'Stmt Rev Exp &amp; Net Position'!E45</f>
        <v>16776852.1666667</v>
      </c>
      <c r="F8" s="8" t="n">
        <f aca="false">'Stmt Rev Exp &amp; Net Position'!F45</f>
        <v>17932818.75</v>
      </c>
      <c r="G8" s="8" t="n">
        <f aca="false">'Stmt Rev Exp &amp; Net Position'!G45</f>
        <v>20072471.5833333</v>
      </c>
    </row>
    <row r="9" customFormat="false" ht="15" hidden="false" customHeight="false" outlineLevel="0" collapsed="false">
      <c r="B9" s="15" t="s">
        <v>136</v>
      </c>
      <c r="C9" s="8" t="n">
        <f aca="false">'Source (from v13)'!C42</f>
        <v>3102800</v>
      </c>
      <c r="D9" s="8" t="n">
        <f aca="false">'Source (from v13)'!D42</f>
        <v>3614466.66666667</v>
      </c>
      <c r="E9" s="8" t="n">
        <f aca="false">'Source (from v13)'!E42</f>
        <v>4126133.33333333</v>
      </c>
      <c r="F9" s="8" t="n">
        <f aca="false">'Source (from v13)'!F42</f>
        <v>4637800</v>
      </c>
      <c r="G9" s="8" t="n">
        <f aca="false">'Source (from v13)'!G42</f>
        <v>2879466.66666667</v>
      </c>
    </row>
    <row r="10" customFormat="false" ht="15" hidden="false" customHeight="false" outlineLevel="0" collapsed="false">
      <c r="B10" s="17" t="s">
        <v>137</v>
      </c>
      <c r="C10" s="18" t="n">
        <v>0</v>
      </c>
      <c r="D10" s="18" t="n">
        <v>0</v>
      </c>
      <c r="E10" s="18" t="n">
        <v>0</v>
      </c>
      <c r="F10" s="18" t="n">
        <v>0</v>
      </c>
      <c r="G10" s="18" t="n">
        <v>0</v>
      </c>
    </row>
    <row r="11" customFormat="false" ht="15" hidden="false" customHeight="false" outlineLevel="0" collapsed="false">
      <c r="B11" s="9" t="s">
        <v>118</v>
      </c>
      <c r="C11" s="16" t="n">
        <f aca="false">C8+C9+C10</f>
        <v>14124756.25</v>
      </c>
      <c r="D11" s="16" t="n">
        <f aca="false">D8+D9+D10</f>
        <v>17741690.5</v>
      </c>
      <c r="E11" s="16" t="n">
        <f aca="false">E8+E9+E10</f>
        <v>20902985.5</v>
      </c>
      <c r="F11" s="16" t="n">
        <f aca="false">F8+F9+F10</f>
        <v>22570618.75</v>
      </c>
      <c r="G11" s="16" t="n">
        <f aca="false">G8+G9+G10</f>
        <v>22951938.25</v>
      </c>
    </row>
    <row r="12" customFormat="false" ht="15" hidden="false" customHeight="false" outlineLevel="0" collapsed="false">
      <c r="B12" s="14" t="s">
        <v>138</v>
      </c>
      <c r="C12" s="21" t="n">
        <f aca="false">C11-'Stmt Cash Flows'!C11</f>
        <v>0</v>
      </c>
      <c r="D12" s="21" t="n">
        <f aca="false">D11-'Stmt Cash Flows'!D11</f>
        <v>0</v>
      </c>
      <c r="E12" s="21" t="n">
        <f aca="false">E11-'Stmt Cash Flows'!E11</f>
        <v>0</v>
      </c>
      <c r="F12" s="21" t="n">
        <f aca="false">F11-'Stmt Cash Flows'!F11</f>
        <v>0</v>
      </c>
      <c r="G12" s="21" t="n">
        <f aca="false">G11-'Stmt Cash Flows'!G11</f>
        <v>0</v>
      </c>
    </row>
    <row r="14" customFormat="false" ht="15" hidden="false" customHeight="false" outlineLevel="0" collapsed="false">
      <c r="B14" s="12" t="s">
        <v>139</v>
      </c>
      <c r="C14" s="13"/>
      <c r="D14" s="13"/>
      <c r="E14" s="13"/>
      <c r="F14" s="13"/>
      <c r="G14" s="13"/>
    </row>
    <row r="15" customFormat="false" ht="15" hidden="false" customHeight="false" outlineLevel="0" collapsed="false">
      <c r="B15" s="15" t="s">
        <v>140</v>
      </c>
      <c r="C15" s="8" t="n">
        <f aca="false">'Source (from v13)'!C51</f>
        <v>8131467.1875</v>
      </c>
      <c r="D15" s="8" t="n">
        <f aca="false">'Source (from v13)'!D51</f>
        <v>10460417.8750333</v>
      </c>
      <c r="E15" s="8" t="n">
        <f aca="false">'Source (from v13)'!E51</f>
        <v>12447639.1249667</v>
      </c>
      <c r="F15" s="8" t="n">
        <f aca="false">'Source (from v13)'!F51</f>
        <v>13314614.0625</v>
      </c>
      <c r="G15" s="8" t="n">
        <f aca="false">'Source (from v13)'!G51</f>
        <v>14919353.6875333</v>
      </c>
    </row>
    <row r="16" customFormat="false" ht="15" hidden="false" customHeight="false" outlineLevel="0" collapsed="false">
      <c r="B16" s="15" t="s">
        <v>141</v>
      </c>
      <c r="C16" s="8" t="n">
        <f aca="false">'Source (from v13)'!C50</f>
        <v>2710489.0625</v>
      </c>
      <c r="D16" s="8" t="n">
        <f aca="false">'Source (from v13)'!D50</f>
        <v>3486805.9583</v>
      </c>
      <c r="E16" s="8" t="n">
        <f aca="false">'Source (from v13)'!E50</f>
        <v>4149213.0417</v>
      </c>
      <c r="F16" s="8" t="n">
        <f aca="false">'Source (from v13)'!F50</f>
        <v>4438204.6875</v>
      </c>
      <c r="G16" s="8" t="n">
        <f aca="false">'Source (from v13)'!G50</f>
        <v>4973117.8958</v>
      </c>
    </row>
    <row r="17" customFormat="false" ht="15" hidden="false" customHeight="false" outlineLevel="0" collapsed="false">
      <c r="B17" s="9" t="s">
        <v>142</v>
      </c>
      <c r="C17" s="16" t="n">
        <f aca="false">C15+C16</f>
        <v>10841956.25</v>
      </c>
      <c r="D17" s="16" t="n">
        <f aca="false">D15+D16</f>
        <v>13947223.8333333</v>
      </c>
      <c r="E17" s="16" t="n">
        <f aca="false">E15+E16</f>
        <v>16596852.1666667</v>
      </c>
      <c r="F17" s="16" t="n">
        <f aca="false">F15+F16</f>
        <v>17752818.75</v>
      </c>
      <c r="G17" s="16" t="n">
        <f aca="false">G15+G16</f>
        <v>19892471.5833333</v>
      </c>
    </row>
    <row r="18" customFormat="false" ht="15" hidden="false" customHeight="false" outlineLevel="0" collapsed="false">
      <c r="B18" s="15" t="s">
        <v>143</v>
      </c>
      <c r="C18" s="8" t="n">
        <f aca="false">'Source (from v13)'!C48</f>
        <v>16000000</v>
      </c>
      <c r="D18" s="8" t="n">
        <f aca="false">'Source (from v13)'!D48</f>
        <v>0</v>
      </c>
      <c r="E18" s="8" t="n">
        <f aca="false">'Source (from v13)'!E48</f>
        <v>0</v>
      </c>
      <c r="F18" s="8" t="n">
        <f aca="false">'Source (from v13)'!F48</f>
        <v>0</v>
      </c>
      <c r="G18" s="8" t="n">
        <f aca="false">'Source (from v13)'!G48</f>
        <v>0</v>
      </c>
    </row>
    <row r="19" customFormat="false" ht="15" hidden="false" customHeight="false" outlineLevel="0" collapsed="false">
      <c r="B19" s="9" t="s">
        <v>144</v>
      </c>
      <c r="C19" s="22" t="n">
        <f aca="false">C17+C18</f>
        <v>26841956.25</v>
      </c>
      <c r="D19" s="22" t="n">
        <f aca="false">D17+D18</f>
        <v>13947223.8333333</v>
      </c>
      <c r="E19" s="22" t="n">
        <f aca="false">E17+E18</f>
        <v>16596852.1666667</v>
      </c>
      <c r="F19" s="22" t="n">
        <f aca="false">F17+F18</f>
        <v>17752818.75</v>
      </c>
      <c r="G19" s="22" t="n">
        <f aca="false">G17+G18</f>
        <v>19892471.5833333</v>
      </c>
    </row>
    <row r="20" customFormat="false" ht="15" hidden="false" customHeight="false" outlineLevel="0" collapsed="false">
      <c r="B20" s="14" t="s">
        <v>145</v>
      </c>
      <c r="C20" s="21" t="n">
        <f aca="false">C19-'Stmt Rev Exp &amp; Net Position'!C55</f>
        <v>0</v>
      </c>
      <c r="D20" s="21" t="n">
        <f aca="false">D19-'Stmt Rev Exp &amp; Net Position'!D55</f>
        <v>0</v>
      </c>
      <c r="E20" s="21" t="n">
        <f aca="false">E19-'Stmt Rev Exp &amp; Net Position'!E55</f>
        <v>0</v>
      </c>
      <c r="F20" s="21" t="n">
        <f aca="false">F19-'Stmt Rev Exp &amp; Net Position'!F55</f>
        <v>0</v>
      </c>
      <c r="G20" s="21" t="n">
        <f aca="false">G19-'Stmt Rev Exp &amp; Net Position'!G55</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112"/>
  </cols>
  <sheetData>
    <row r="2" customFormat="false" ht="17.35" hidden="false" customHeight="false" outlineLevel="0" collapsed="false">
      <c r="B2" s="1" t="s">
        <v>146</v>
      </c>
    </row>
    <row r="4" customFormat="false" ht="15" hidden="false" customHeight="false" outlineLevel="0" collapsed="false">
      <c r="B4" s="2" t="s">
        <v>147</v>
      </c>
    </row>
    <row r="5" customFormat="false" ht="15" hidden="false" customHeight="false" outlineLevel="0" collapsed="false">
      <c r="B5" s="3" t="s">
        <v>148</v>
      </c>
    </row>
    <row r="6" customFormat="false" ht="35.05" hidden="false" customHeight="false" outlineLevel="0" collapsed="false">
      <c r="B6" s="4" t="s">
        <v>149</v>
      </c>
    </row>
    <row r="7" customFormat="false" ht="15" hidden="false" customHeight="false" outlineLevel="0" collapsed="false">
      <c r="B7" s="3" t="s">
        <v>150</v>
      </c>
    </row>
    <row r="8" customFormat="false" ht="35.05" hidden="false" customHeight="false" outlineLevel="0" collapsed="false">
      <c r="B8" s="4" t="s">
        <v>151</v>
      </c>
    </row>
    <row r="9" customFormat="false" ht="15" hidden="false" customHeight="false" outlineLevel="0" collapsed="false">
      <c r="B9" s="3" t="s">
        <v>152</v>
      </c>
    </row>
    <row r="10" customFormat="false" ht="23.85" hidden="false" customHeight="false" outlineLevel="0" collapsed="false">
      <c r="B10" s="4" t="s">
        <v>153</v>
      </c>
    </row>
    <row r="11" customFormat="false" ht="15" hidden="false" customHeight="false" outlineLevel="0" collapsed="false">
      <c r="B11" s="3" t="s">
        <v>154</v>
      </c>
    </row>
    <row r="12" customFormat="false" ht="23.85" hidden="false" customHeight="false" outlineLevel="0" collapsed="false">
      <c r="B12" s="4" t="s">
        <v>155</v>
      </c>
    </row>
    <row r="13" customFormat="false" ht="15" hidden="false" customHeight="false" outlineLevel="0" collapsed="false">
      <c r="B13" s="3" t="s">
        <v>156</v>
      </c>
    </row>
    <row r="14" customFormat="false" ht="23.85" hidden="false" customHeight="false" outlineLevel="0" collapsed="false">
      <c r="B14" s="4" t="s">
        <v>157</v>
      </c>
    </row>
    <row r="15" customFormat="false" ht="15" hidden="false" customHeight="false" outlineLevel="0" collapsed="false">
      <c r="B15" s="3" t="s">
        <v>158</v>
      </c>
    </row>
    <row r="16" customFormat="false" ht="35.05" hidden="false" customHeight="false" outlineLevel="0" collapsed="false">
      <c r="B16" s="4" t="s">
        <v>159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4" min="3" style="0" width="42"/>
  </cols>
  <sheetData>
    <row r="2" customFormat="false" ht="17.35" hidden="false" customHeight="false" outlineLevel="0" collapsed="false">
      <c r="B2" s="1" t="s">
        <v>160</v>
      </c>
    </row>
    <row r="3" customFormat="false" ht="15" hidden="false" customHeight="false" outlineLevel="0" collapsed="false">
      <c r="B3" s="2" t="s">
        <v>161</v>
      </c>
    </row>
    <row r="5" customFormat="false" ht="15" hidden="false" customHeight="false" outlineLevel="0" collapsed="false">
      <c r="B5" s="23" t="s">
        <v>162</v>
      </c>
      <c r="C5" s="23" t="s">
        <v>163</v>
      </c>
      <c r="D5" s="23" t="s">
        <v>164</v>
      </c>
    </row>
    <row r="6" customFormat="false" ht="23.85" hidden="false" customHeight="false" outlineLevel="0" collapsed="false">
      <c r="B6" s="14" t="s">
        <v>165</v>
      </c>
      <c r="C6" s="4" t="s">
        <v>166</v>
      </c>
      <c r="D6" s="4" t="s">
        <v>167</v>
      </c>
    </row>
    <row r="7" customFormat="false" ht="23.85" hidden="false" customHeight="false" outlineLevel="0" collapsed="false">
      <c r="B7" s="14" t="s">
        <v>168</v>
      </c>
      <c r="C7" s="4" t="s">
        <v>169</v>
      </c>
      <c r="D7" s="4" t="s">
        <v>170</v>
      </c>
    </row>
    <row r="8" customFormat="false" ht="15" hidden="false" customHeight="false" outlineLevel="0" collapsed="false">
      <c r="B8" s="14" t="s">
        <v>171</v>
      </c>
      <c r="C8" s="4" t="s">
        <v>172</v>
      </c>
      <c r="D8" s="4" t="s">
        <v>173</v>
      </c>
    </row>
    <row r="9" customFormat="false" ht="23.85" hidden="false" customHeight="false" outlineLevel="0" collapsed="false">
      <c r="B9" s="14" t="s">
        <v>174</v>
      </c>
      <c r="C9" s="4" t="s">
        <v>175</v>
      </c>
      <c r="D9" s="4" t="s">
        <v>176</v>
      </c>
    </row>
    <row r="10" customFormat="false" ht="15" hidden="false" customHeight="false" outlineLevel="0" collapsed="false">
      <c r="B10" s="14" t="s">
        <v>177</v>
      </c>
      <c r="C10" s="4" t="s">
        <v>178</v>
      </c>
      <c r="D10" s="4" t="s">
        <v>179</v>
      </c>
    </row>
    <row r="11" customFormat="false" ht="15" hidden="false" customHeight="false" outlineLevel="0" collapsed="false">
      <c r="B11" s="14" t="s">
        <v>180</v>
      </c>
      <c r="C11" s="4" t="s">
        <v>181</v>
      </c>
      <c r="D11" s="4" t="s">
        <v>182</v>
      </c>
    </row>
    <row r="12" customFormat="false" ht="23.85" hidden="false" customHeight="false" outlineLevel="0" collapsed="false">
      <c r="B12" s="14" t="s">
        <v>183</v>
      </c>
      <c r="C12" s="4" t="s">
        <v>184</v>
      </c>
      <c r="D12" s="4" t="s">
        <v>185</v>
      </c>
    </row>
    <row r="13" customFormat="false" ht="15" hidden="false" customHeight="false" outlineLevel="0" collapsed="false">
      <c r="B13" s="14" t="s">
        <v>106</v>
      </c>
      <c r="C13" s="4" t="s">
        <v>186</v>
      </c>
      <c r="D13" s="4" t="s">
        <v>187</v>
      </c>
    </row>
    <row r="14" customFormat="false" ht="15" hidden="false" customHeight="false" outlineLevel="0" collapsed="false">
      <c r="B14" s="14" t="s">
        <v>188</v>
      </c>
      <c r="C14" s="4" t="s">
        <v>189</v>
      </c>
      <c r="D14" s="4" t="s">
        <v>190</v>
      </c>
    </row>
    <row r="15" customFormat="false" ht="15" hidden="false" customHeight="false" outlineLevel="0" collapsed="false">
      <c r="B15" s="14" t="s">
        <v>191</v>
      </c>
      <c r="C15" s="4" t="s">
        <v>192</v>
      </c>
      <c r="D15" s="4" t="s">
        <v>193</v>
      </c>
    </row>
    <row r="16" customFormat="false" ht="15" hidden="false" customHeight="false" outlineLevel="0" collapsed="false">
      <c r="B16" s="14" t="s">
        <v>194</v>
      </c>
      <c r="C16" s="4" t="s">
        <v>195</v>
      </c>
      <c r="D16" s="4" t="s">
        <v>196</v>
      </c>
    </row>
    <row r="17" customFormat="false" ht="15" hidden="false" customHeight="false" outlineLevel="0" collapsed="false">
      <c r="B17" s="14" t="s">
        <v>197</v>
      </c>
      <c r="C17" s="4" t="s">
        <v>198</v>
      </c>
      <c r="D17" s="4" t="s">
        <v>199</v>
      </c>
    </row>
    <row r="18" customFormat="false" ht="15" hidden="false" customHeight="false" outlineLevel="0" collapsed="false">
      <c r="B18" s="14" t="s">
        <v>200</v>
      </c>
      <c r="C18" s="4" t="s">
        <v>184</v>
      </c>
      <c r="D18" s="4" t="s">
        <v>201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42"/>
    <col collapsed="false" customWidth="true" hidden="false" outlineLevel="0" max="7" min="3" style="0" width="15"/>
  </cols>
  <sheetData>
    <row r="2" customFormat="false" ht="16.15" hidden="false" customHeight="false" outlineLevel="0" collapsed="false">
      <c r="B2" s="11" t="s">
        <v>202</v>
      </c>
    </row>
    <row r="3" customFormat="false" ht="15" hidden="false" customHeight="false" outlineLevel="0" collapsed="false">
      <c r="B3" s="2" t="s">
        <v>203</v>
      </c>
    </row>
    <row r="5" customFormat="false" ht="15" hidden="false" customHeight="false" outlineLevel="0" collapsed="false">
      <c r="B5" s="5" t="s">
        <v>40</v>
      </c>
      <c r="C5" s="6" t="s">
        <v>21</v>
      </c>
      <c r="D5" s="6" t="s">
        <v>22</v>
      </c>
      <c r="E5" s="6" t="s">
        <v>23</v>
      </c>
      <c r="F5" s="6" t="s">
        <v>24</v>
      </c>
      <c r="G5" s="6" t="s">
        <v>25</v>
      </c>
    </row>
    <row r="6" customFormat="false" ht="15" hidden="false" customHeight="false" outlineLevel="0" collapsed="false">
      <c r="B6" s="12" t="s">
        <v>204</v>
      </c>
      <c r="C6" s="13"/>
      <c r="D6" s="13"/>
      <c r="E6" s="13"/>
      <c r="F6" s="13"/>
      <c r="G6" s="13"/>
    </row>
    <row r="7" customFormat="false" ht="15" hidden="false" customHeight="false" outlineLevel="0" collapsed="false">
      <c r="B7" s="19" t="s">
        <v>69</v>
      </c>
      <c r="C7" s="18" t="n">
        <v>19985625</v>
      </c>
      <c r="D7" s="18" t="n">
        <v>20773650</v>
      </c>
      <c r="E7" s="18" t="n">
        <v>22227150</v>
      </c>
      <c r="F7" s="18" t="n">
        <v>22336875</v>
      </c>
      <c r="G7" s="18" t="n">
        <v>21456225</v>
      </c>
    </row>
    <row r="8" customFormat="false" ht="15" hidden="false" customHeight="false" outlineLevel="0" collapsed="false">
      <c r="B8" s="19" t="s">
        <v>70</v>
      </c>
      <c r="C8" s="18" t="n">
        <v>1320000</v>
      </c>
      <c r="D8" s="18" t="n">
        <v>1480000</v>
      </c>
      <c r="E8" s="18" t="n">
        <v>1760000</v>
      </c>
      <c r="F8" s="18" t="n">
        <v>2000000</v>
      </c>
      <c r="G8" s="18" t="n">
        <v>2160000</v>
      </c>
    </row>
    <row r="9" customFormat="false" ht="15" hidden="false" customHeight="false" outlineLevel="0" collapsed="false">
      <c r="B9" s="19" t="s">
        <v>71</v>
      </c>
      <c r="C9" s="18" t="n">
        <v>1485000</v>
      </c>
      <c r="D9" s="18" t="n">
        <v>1665000</v>
      </c>
      <c r="E9" s="18" t="n">
        <v>1980000</v>
      </c>
      <c r="F9" s="18" t="n">
        <v>2250000</v>
      </c>
      <c r="G9" s="18" t="n">
        <v>2430000</v>
      </c>
    </row>
    <row r="10" customFormat="false" ht="15" hidden="false" customHeight="false" outlineLevel="0" collapsed="false">
      <c r="B10" s="19" t="s">
        <v>72</v>
      </c>
      <c r="C10" s="18" t="n">
        <v>990000</v>
      </c>
      <c r="D10" s="18" t="n">
        <v>1110000</v>
      </c>
      <c r="E10" s="18" t="n">
        <v>1320000</v>
      </c>
      <c r="F10" s="18" t="n">
        <v>1500000</v>
      </c>
      <c r="G10" s="18" t="n">
        <v>1620000</v>
      </c>
    </row>
    <row r="11" customFormat="false" ht="15" hidden="false" customHeight="false" outlineLevel="0" collapsed="false">
      <c r="B11" s="19" t="s">
        <v>73</v>
      </c>
      <c r="C11" s="18" t="n">
        <v>1650000</v>
      </c>
      <c r="D11" s="18" t="n">
        <v>1850000</v>
      </c>
      <c r="E11" s="18" t="n">
        <v>2200000</v>
      </c>
      <c r="F11" s="18" t="n">
        <v>2500000</v>
      </c>
      <c r="G11" s="18" t="n">
        <v>2700000</v>
      </c>
    </row>
    <row r="12" customFormat="false" ht="15" hidden="false" customHeight="false" outlineLevel="0" collapsed="false">
      <c r="B12" s="19" t="s">
        <v>74</v>
      </c>
      <c r="C12" s="18" t="n">
        <v>247500</v>
      </c>
      <c r="D12" s="18" t="n">
        <v>277500</v>
      </c>
      <c r="E12" s="18" t="n">
        <v>330000</v>
      </c>
      <c r="F12" s="18" t="n">
        <v>375000</v>
      </c>
      <c r="G12" s="18" t="n">
        <v>405000</v>
      </c>
    </row>
    <row r="13" customFormat="false" ht="15" hidden="false" customHeight="false" outlineLevel="0" collapsed="false">
      <c r="B13" s="19" t="s">
        <v>75</v>
      </c>
      <c r="C13" s="18" t="n">
        <v>4792000</v>
      </c>
      <c r="D13" s="18" t="n">
        <v>6589000</v>
      </c>
      <c r="E13" s="18" t="n">
        <v>7787000</v>
      </c>
      <c r="F13" s="18" t="n">
        <v>8386000</v>
      </c>
      <c r="G13" s="18" t="n">
        <v>8985000</v>
      </c>
    </row>
    <row r="14" customFormat="false" ht="15" hidden="false" customHeight="false" outlineLevel="0" collapsed="false">
      <c r="B14" s="19" t="s">
        <v>76</v>
      </c>
      <c r="C14" s="18" t="n">
        <v>900000</v>
      </c>
      <c r="D14" s="18" t="n">
        <v>1330000</v>
      </c>
      <c r="E14" s="18" t="n">
        <v>1800000</v>
      </c>
      <c r="F14" s="18" t="n">
        <v>2310000</v>
      </c>
      <c r="G14" s="18" t="n">
        <v>2750000</v>
      </c>
    </row>
    <row r="15" customFormat="false" ht="15" hidden="false" customHeight="false" outlineLevel="0" collapsed="false">
      <c r="B15" s="19" t="s">
        <v>77</v>
      </c>
      <c r="C15" s="18" t="n">
        <v>1000000</v>
      </c>
      <c r="D15" s="18" t="n">
        <v>1300000</v>
      </c>
      <c r="E15" s="18" t="n">
        <v>1600000</v>
      </c>
      <c r="F15" s="18" t="n">
        <v>1800000</v>
      </c>
      <c r="G15" s="18" t="n">
        <v>2000000</v>
      </c>
    </row>
    <row r="16" customFormat="false" ht="15" hidden="false" customHeight="false" outlineLevel="0" collapsed="false">
      <c r="B16" s="19" t="s">
        <v>78</v>
      </c>
      <c r="C16" s="18" t="n">
        <v>1000000</v>
      </c>
      <c r="D16" s="18" t="n">
        <v>1200000</v>
      </c>
      <c r="E16" s="18" t="n">
        <v>1400000</v>
      </c>
      <c r="F16" s="18" t="n">
        <v>1600000</v>
      </c>
      <c r="G16" s="18" t="n">
        <v>1800000</v>
      </c>
    </row>
    <row r="17" customFormat="false" ht="15" hidden="false" customHeight="false" outlineLevel="0" collapsed="false">
      <c r="B17" s="19" t="s">
        <v>79</v>
      </c>
      <c r="C17" s="18" t="n">
        <v>300000</v>
      </c>
      <c r="D17" s="18" t="n">
        <v>500000</v>
      </c>
      <c r="E17" s="18" t="n">
        <v>700000</v>
      </c>
      <c r="F17" s="18" t="n">
        <v>850000</v>
      </c>
      <c r="G17" s="18" t="n">
        <v>1000000</v>
      </c>
    </row>
    <row r="18" customFormat="false" ht="15" hidden="false" customHeight="false" outlineLevel="0" collapsed="false">
      <c r="B18" s="19" t="s">
        <v>80</v>
      </c>
      <c r="C18" s="18" t="n">
        <v>900000</v>
      </c>
      <c r="D18" s="18" t="n">
        <v>1100000</v>
      </c>
      <c r="E18" s="18" t="n">
        <v>1300000</v>
      </c>
      <c r="F18" s="18" t="n">
        <v>1400000</v>
      </c>
      <c r="G18" s="18" t="n">
        <v>1500000</v>
      </c>
    </row>
    <row r="19" customFormat="false" ht="15" hidden="false" customHeight="false" outlineLevel="0" collapsed="false">
      <c r="B19" s="19" t="s">
        <v>81</v>
      </c>
      <c r="C19" s="18" t="n">
        <v>350000</v>
      </c>
      <c r="D19" s="18" t="n">
        <v>450000</v>
      </c>
      <c r="E19" s="18" t="n">
        <v>550000</v>
      </c>
      <c r="F19" s="18" t="n">
        <v>600000</v>
      </c>
      <c r="G19" s="18" t="n">
        <v>650000</v>
      </c>
    </row>
    <row r="20" customFormat="false" ht="15" hidden="false" customHeight="false" outlineLevel="0" collapsed="false">
      <c r="B20" s="19" t="s">
        <v>82</v>
      </c>
      <c r="C20" s="18" t="n">
        <v>200000</v>
      </c>
      <c r="D20" s="18" t="n">
        <v>250000</v>
      </c>
      <c r="E20" s="18" t="n">
        <v>300000</v>
      </c>
      <c r="F20" s="18" t="n">
        <v>320000</v>
      </c>
      <c r="G20" s="18" t="n">
        <v>350000</v>
      </c>
    </row>
    <row r="21" customFormat="false" ht="15" hidden="false" customHeight="false" outlineLevel="0" collapsed="false">
      <c r="B21" s="19" t="s">
        <v>83</v>
      </c>
      <c r="C21" s="18" t="n">
        <v>300000</v>
      </c>
      <c r="D21" s="18" t="n">
        <v>400000</v>
      </c>
      <c r="E21" s="18" t="n">
        <v>450000</v>
      </c>
      <c r="F21" s="18" t="n">
        <v>500000</v>
      </c>
      <c r="G21" s="18" t="n">
        <v>550000</v>
      </c>
    </row>
    <row r="22" customFormat="false" ht="15" hidden="false" customHeight="false" outlineLevel="0" collapsed="false">
      <c r="B22" s="19" t="s">
        <v>84</v>
      </c>
      <c r="C22" s="18" t="n">
        <v>50000</v>
      </c>
      <c r="D22" s="18" t="n">
        <v>100000</v>
      </c>
      <c r="E22" s="18" t="n">
        <v>200000</v>
      </c>
      <c r="F22" s="18" t="n">
        <v>300000</v>
      </c>
      <c r="G22" s="18" t="n">
        <v>400000</v>
      </c>
    </row>
    <row r="23" customFormat="false" ht="15" hidden="false" customHeight="false" outlineLevel="0" collapsed="false">
      <c r="B23" s="12" t="s">
        <v>205</v>
      </c>
      <c r="C23" s="13"/>
      <c r="D23" s="13"/>
      <c r="E23" s="13"/>
      <c r="F23" s="13"/>
      <c r="G23" s="13"/>
    </row>
    <row r="24" customFormat="false" ht="15" hidden="false" customHeight="false" outlineLevel="0" collapsed="false">
      <c r="B24" s="19" t="s">
        <v>206</v>
      </c>
      <c r="C24" s="18" t="n">
        <v>300000</v>
      </c>
      <c r="D24" s="18" t="n">
        <v>300000</v>
      </c>
      <c r="E24" s="18" t="n">
        <v>300000</v>
      </c>
      <c r="F24" s="18" t="n">
        <v>300000</v>
      </c>
      <c r="G24" s="18" t="n">
        <v>300000</v>
      </c>
    </row>
    <row r="25" customFormat="false" ht="15" hidden="false" customHeight="false" outlineLevel="0" collapsed="false">
      <c r="B25" s="12" t="s">
        <v>207</v>
      </c>
      <c r="C25" s="13"/>
      <c r="D25" s="13"/>
      <c r="E25" s="13"/>
      <c r="F25" s="13"/>
      <c r="G25" s="13"/>
    </row>
    <row r="26" customFormat="false" ht="15" hidden="false" customHeight="false" outlineLevel="0" collapsed="false">
      <c r="B26" s="19" t="s">
        <v>86</v>
      </c>
      <c r="C26" s="18" t="n">
        <v>6941250</v>
      </c>
      <c r="D26" s="18" t="n">
        <v>7562500</v>
      </c>
      <c r="E26" s="18" t="n">
        <v>8668750</v>
      </c>
      <c r="F26" s="18" t="n">
        <v>8946250</v>
      </c>
      <c r="G26" s="18" t="n">
        <v>9332500</v>
      </c>
    </row>
    <row r="27" customFormat="false" ht="15" hidden="false" customHeight="false" outlineLevel="0" collapsed="false">
      <c r="B27" s="19" t="s">
        <v>87</v>
      </c>
      <c r="C27" s="18" t="n">
        <v>1620000</v>
      </c>
      <c r="D27" s="18" t="n">
        <v>1669000</v>
      </c>
      <c r="E27" s="18" t="n">
        <v>1719000</v>
      </c>
      <c r="F27" s="18" t="n">
        <v>1771000</v>
      </c>
      <c r="G27" s="18" t="n">
        <v>1824000</v>
      </c>
    </row>
    <row r="28" customFormat="false" ht="15" hidden="false" customHeight="false" outlineLevel="0" collapsed="false">
      <c r="B28" s="19" t="s">
        <v>88</v>
      </c>
      <c r="C28" s="18" t="n">
        <v>600000</v>
      </c>
      <c r="D28" s="18" t="n">
        <v>620000</v>
      </c>
      <c r="E28" s="18" t="n">
        <v>640000</v>
      </c>
      <c r="F28" s="18" t="n">
        <v>660000</v>
      </c>
      <c r="G28" s="18" t="n">
        <v>680000</v>
      </c>
    </row>
    <row r="29" customFormat="false" ht="15" hidden="false" customHeight="false" outlineLevel="0" collapsed="false">
      <c r="B29" s="19" t="s">
        <v>89</v>
      </c>
      <c r="C29" s="18" t="n">
        <v>2500000</v>
      </c>
      <c r="D29" s="18" t="n">
        <v>2000000</v>
      </c>
      <c r="E29" s="18" t="n">
        <v>1800000</v>
      </c>
      <c r="F29" s="18" t="n">
        <v>1800000</v>
      </c>
      <c r="G29" s="18" t="n">
        <v>1800000</v>
      </c>
    </row>
    <row r="30" customFormat="false" ht="15" hidden="false" customHeight="false" outlineLevel="0" collapsed="false">
      <c r="B30" s="19" t="s">
        <v>90</v>
      </c>
      <c r="C30" s="18" t="n">
        <v>800000</v>
      </c>
      <c r="D30" s="18" t="n">
        <v>900000</v>
      </c>
      <c r="E30" s="18" t="n">
        <v>1000000</v>
      </c>
      <c r="F30" s="18" t="n">
        <v>1000000</v>
      </c>
      <c r="G30" s="18" t="n">
        <v>1000000</v>
      </c>
    </row>
    <row r="31" customFormat="false" ht="15" hidden="false" customHeight="false" outlineLevel="0" collapsed="false">
      <c r="B31" s="19" t="s">
        <v>91</v>
      </c>
      <c r="C31" s="18" t="n">
        <v>400000</v>
      </c>
      <c r="D31" s="18" t="n">
        <v>420000</v>
      </c>
      <c r="E31" s="18" t="n">
        <v>440000</v>
      </c>
      <c r="F31" s="18" t="n">
        <v>460000</v>
      </c>
      <c r="G31" s="18" t="n">
        <v>480000</v>
      </c>
    </row>
    <row r="32" customFormat="false" ht="15" hidden="false" customHeight="false" outlineLevel="0" collapsed="false">
      <c r="B32" s="19" t="s">
        <v>92</v>
      </c>
      <c r="C32" s="18" t="n">
        <v>600000</v>
      </c>
      <c r="D32" s="18" t="n">
        <v>700000</v>
      </c>
      <c r="E32" s="18" t="n">
        <v>800000</v>
      </c>
      <c r="F32" s="18" t="n">
        <v>850000</v>
      </c>
      <c r="G32" s="18" t="n">
        <v>900000</v>
      </c>
    </row>
    <row r="33" customFormat="false" ht="15" hidden="false" customHeight="false" outlineLevel="0" collapsed="false">
      <c r="B33" s="19" t="s">
        <v>93</v>
      </c>
      <c r="C33" s="18" t="n">
        <v>1200000</v>
      </c>
      <c r="D33" s="18" t="n">
        <v>1300000</v>
      </c>
      <c r="E33" s="18" t="n">
        <v>1400000</v>
      </c>
      <c r="F33" s="18" t="n">
        <v>1500000</v>
      </c>
      <c r="G33" s="18" t="n">
        <v>1600000</v>
      </c>
    </row>
    <row r="34" customFormat="false" ht="15" hidden="false" customHeight="false" outlineLevel="0" collapsed="false">
      <c r="B34" s="19" t="s">
        <v>94</v>
      </c>
      <c r="C34" s="18" t="n">
        <v>930000</v>
      </c>
      <c r="D34" s="18" t="n">
        <v>1000000</v>
      </c>
      <c r="E34" s="18" t="n">
        <v>1060000</v>
      </c>
      <c r="F34" s="18" t="n">
        <v>1120000</v>
      </c>
      <c r="G34" s="18" t="n">
        <v>1180000</v>
      </c>
    </row>
    <row r="35" customFormat="false" ht="15" hidden="false" customHeight="false" outlineLevel="0" collapsed="false">
      <c r="B35" s="19" t="s">
        <v>95</v>
      </c>
      <c r="C35" s="18" t="n">
        <v>1634400</v>
      </c>
      <c r="D35" s="18" t="n">
        <v>1940400</v>
      </c>
      <c r="E35" s="18" t="n">
        <v>2246400</v>
      </c>
      <c r="F35" s="18" t="n">
        <v>2552400</v>
      </c>
      <c r="G35" s="18" t="n">
        <v>2858400</v>
      </c>
    </row>
    <row r="36" customFormat="false" ht="15" hidden="false" customHeight="false" outlineLevel="0" collapsed="false">
      <c r="B36" s="19" t="s">
        <v>96</v>
      </c>
      <c r="C36" s="18" t="n">
        <v>742500</v>
      </c>
      <c r="D36" s="18" t="n">
        <v>832500</v>
      </c>
      <c r="E36" s="18" t="n">
        <v>990000</v>
      </c>
      <c r="F36" s="18" t="n">
        <v>1125000</v>
      </c>
      <c r="G36" s="18" t="n">
        <v>1215000</v>
      </c>
    </row>
    <row r="37" customFormat="false" ht="15" hidden="false" customHeight="false" outlineLevel="0" collapsed="false">
      <c r="B37" s="19" t="s">
        <v>97</v>
      </c>
      <c r="C37" s="18" t="n">
        <v>1876875</v>
      </c>
      <c r="D37" s="18" t="n">
        <v>2104375</v>
      </c>
      <c r="E37" s="18" t="n">
        <v>2502500</v>
      </c>
      <c r="F37" s="18" t="n">
        <v>2843750</v>
      </c>
      <c r="G37" s="18" t="n">
        <v>3071250</v>
      </c>
    </row>
    <row r="38" customFormat="false" ht="15" hidden="false" customHeight="false" outlineLevel="0" collapsed="false">
      <c r="B38" s="19" t="s">
        <v>98</v>
      </c>
      <c r="C38" s="18" t="n">
        <v>330000</v>
      </c>
      <c r="D38" s="18" t="n">
        <v>370000</v>
      </c>
      <c r="E38" s="18" t="n">
        <v>440000</v>
      </c>
      <c r="F38" s="18" t="n">
        <v>500000</v>
      </c>
      <c r="G38" s="18" t="n">
        <v>540000</v>
      </c>
    </row>
    <row r="39" customFormat="false" ht="15" hidden="false" customHeight="false" outlineLevel="0" collapsed="false">
      <c r="B39" s="19" t="s">
        <v>99</v>
      </c>
      <c r="C39" s="18" t="n">
        <v>770343.75</v>
      </c>
      <c r="D39" s="18" t="n">
        <v>814684.5</v>
      </c>
      <c r="E39" s="18" t="n">
        <v>894514.5</v>
      </c>
      <c r="F39" s="18" t="n">
        <v>928856.25</v>
      </c>
      <c r="G39" s="18" t="n">
        <v>923136.75</v>
      </c>
    </row>
    <row r="40" customFormat="false" ht="15" hidden="false" customHeight="false" outlineLevel="0" collapsed="false">
      <c r="B40" s="19" t="s">
        <v>100</v>
      </c>
      <c r="C40" s="18" t="n">
        <v>400000</v>
      </c>
      <c r="D40" s="18" t="n">
        <v>400000</v>
      </c>
      <c r="E40" s="18" t="n">
        <v>400000</v>
      </c>
      <c r="F40" s="18" t="n">
        <v>400000</v>
      </c>
      <c r="G40" s="18" t="n">
        <v>400000</v>
      </c>
    </row>
    <row r="41" customFormat="false" ht="15" hidden="false" customHeight="false" outlineLevel="0" collapsed="false">
      <c r="B41" s="12" t="s">
        <v>208</v>
      </c>
      <c r="C41" s="13"/>
      <c r="D41" s="13"/>
      <c r="E41" s="13"/>
      <c r="F41" s="13"/>
      <c r="G41" s="13"/>
    </row>
    <row r="42" customFormat="false" ht="15" hidden="false" customHeight="false" outlineLevel="0" collapsed="false">
      <c r="B42" s="19" t="s">
        <v>101</v>
      </c>
      <c r="C42" s="18" t="n">
        <v>3102800</v>
      </c>
      <c r="D42" s="18" t="n">
        <v>3614466.66666667</v>
      </c>
      <c r="E42" s="18" t="n">
        <v>4126133.33333333</v>
      </c>
      <c r="F42" s="18" t="n">
        <v>4637800</v>
      </c>
      <c r="G42" s="18" t="n">
        <v>2879466.66666667</v>
      </c>
    </row>
    <row r="43" customFormat="false" ht="15" hidden="false" customHeight="false" outlineLevel="0" collapsed="false">
      <c r="B43" s="19" t="s">
        <v>209</v>
      </c>
      <c r="C43" s="18" t="n">
        <v>480000</v>
      </c>
      <c r="D43" s="18" t="n">
        <v>480000</v>
      </c>
      <c r="E43" s="18" t="n">
        <v>480000</v>
      </c>
      <c r="F43" s="18" t="n">
        <v>480000</v>
      </c>
      <c r="G43" s="18" t="n">
        <v>480000</v>
      </c>
    </row>
    <row r="44" customFormat="false" ht="15" hidden="false" customHeight="false" outlineLevel="0" collapsed="false">
      <c r="B44" s="19" t="s">
        <v>210</v>
      </c>
      <c r="C44" s="18" t="n">
        <v>15469200</v>
      </c>
      <c r="D44" s="18" t="n">
        <v>14654733.3333333</v>
      </c>
      <c r="E44" s="18" t="n">
        <v>13328600</v>
      </c>
      <c r="F44" s="18" t="n">
        <v>11490800</v>
      </c>
      <c r="G44" s="18" t="n">
        <v>11411333.3333333</v>
      </c>
    </row>
    <row r="45" customFormat="false" ht="15" hidden="false" customHeight="false" outlineLevel="0" collapsed="false">
      <c r="B45" s="19" t="s">
        <v>211</v>
      </c>
      <c r="C45" s="18" t="n">
        <v>18572000</v>
      </c>
      <c r="D45" s="18" t="n">
        <v>2800000</v>
      </c>
      <c r="E45" s="18" t="n">
        <v>2800000</v>
      </c>
      <c r="F45" s="18" t="n">
        <v>2800000</v>
      </c>
      <c r="G45" s="18" t="n">
        <v>2800000</v>
      </c>
    </row>
    <row r="46" customFormat="false" ht="15" hidden="false" customHeight="false" outlineLevel="0" collapsed="false">
      <c r="B46" s="19" t="s">
        <v>212</v>
      </c>
      <c r="C46" s="18" t="n">
        <v>6000000</v>
      </c>
      <c r="D46" s="18" t="n">
        <v>6000000</v>
      </c>
      <c r="E46" s="18" t="n">
        <v>6000000</v>
      </c>
      <c r="F46" s="18" t="n">
        <v>6000000</v>
      </c>
      <c r="G46" s="18" t="n">
        <v>6000000</v>
      </c>
    </row>
    <row r="47" customFormat="false" ht="15" hidden="false" customHeight="false" outlineLevel="0" collapsed="false">
      <c r="B47" s="19" t="s">
        <v>213</v>
      </c>
      <c r="C47" s="18" t="n">
        <v>6000000</v>
      </c>
      <c r="D47" s="18" t="n">
        <v>0</v>
      </c>
      <c r="E47" s="18" t="n">
        <v>0</v>
      </c>
      <c r="F47" s="18" t="n">
        <v>0</v>
      </c>
      <c r="G47" s="18" t="n">
        <v>0</v>
      </c>
    </row>
    <row r="48" customFormat="false" ht="15" hidden="false" customHeight="false" outlineLevel="0" collapsed="false">
      <c r="B48" s="19" t="s">
        <v>214</v>
      </c>
      <c r="C48" s="18" t="n">
        <v>16000000</v>
      </c>
      <c r="D48" s="18" t="n">
        <v>0</v>
      </c>
      <c r="E48" s="18" t="n">
        <v>0</v>
      </c>
      <c r="F48" s="18" t="n">
        <v>0</v>
      </c>
      <c r="G48" s="18" t="n">
        <v>0</v>
      </c>
    </row>
    <row r="49" customFormat="false" ht="15" hidden="false" customHeight="false" outlineLevel="0" collapsed="false">
      <c r="B49" s="12" t="s">
        <v>215</v>
      </c>
      <c r="C49" s="13"/>
      <c r="D49" s="13"/>
      <c r="E49" s="13"/>
      <c r="F49" s="13"/>
      <c r="G49" s="13"/>
    </row>
    <row r="50" customFormat="false" ht="15" hidden="false" customHeight="false" outlineLevel="0" collapsed="false">
      <c r="B50" s="19" t="s">
        <v>216</v>
      </c>
      <c r="C50" s="18" t="n">
        <v>2710489.0625</v>
      </c>
      <c r="D50" s="18" t="n">
        <v>3486805.9583</v>
      </c>
      <c r="E50" s="18" t="n">
        <v>4149213.0417</v>
      </c>
      <c r="F50" s="18" t="n">
        <v>4438204.6875</v>
      </c>
      <c r="G50" s="18" t="n">
        <v>4973117.8958</v>
      </c>
    </row>
    <row r="51" customFormat="false" ht="15" hidden="false" customHeight="false" outlineLevel="0" collapsed="false">
      <c r="B51" s="19" t="s">
        <v>217</v>
      </c>
      <c r="C51" s="18" t="n">
        <v>8131467.1875</v>
      </c>
      <c r="D51" s="18" t="n">
        <v>10460417.8750333</v>
      </c>
      <c r="E51" s="18" t="n">
        <v>12447639.1249667</v>
      </c>
      <c r="F51" s="18" t="n">
        <v>13314614.0625</v>
      </c>
      <c r="G51" s="18" t="n">
        <v>14919353.6875333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2026-06-29T22:37:14Z</dcterms:created>
  <dc:creator>openpyxl</dc:creator>
  <dc:description/>
  <dc:language>en-US</dc:language>
  <cp:lastModifiedBy/>
  <dcterms:modified xsi:type="dcterms:W3CDTF">2026-06-29T22:38:07Z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